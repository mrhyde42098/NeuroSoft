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0.200\repositorio\Capacitaciones Clínicas IN&amp;S\"/>
    </mc:Choice>
  </mc:AlternateContent>
  <xr:revisionPtr revIDLastSave="0" documentId="13_ncr:1_{D56F9E34-3067-4786-ADE3-4763C1EDAE4C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TAI y SNAP" sheetId="1" state="hidden" r:id="rId1"/>
    <sheet name="STAI" sheetId="2" r:id="rId2"/>
    <sheet name="STAI Original" sheetId="5" state="hidden" r:id="rId3"/>
    <sheet name="Toulouse- Pieron IGAP" sheetId="4" r:id="rId4"/>
    <sheet name="SNAP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UA/k57gb7pc+qxqy/c1EiyhmGypURRAquUpE1QRK3E="/>
    </ext>
  </extLst>
</workbook>
</file>

<file path=xl/calcChain.xml><?xml version="1.0" encoding="utf-8"?>
<calcChain xmlns="http://schemas.openxmlformats.org/spreadsheetml/2006/main">
  <c r="J62" i="5" l="1"/>
  <c r="G62" i="5"/>
  <c r="J61" i="5"/>
  <c r="G61" i="5"/>
  <c r="J60" i="5"/>
  <c r="G60" i="5"/>
  <c r="J59" i="5"/>
  <c r="G59" i="5"/>
  <c r="J58" i="5"/>
  <c r="G58" i="5"/>
  <c r="J57" i="5"/>
  <c r="G57" i="5"/>
  <c r="J56" i="5"/>
  <c r="G56" i="5"/>
  <c r="J55" i="5"/>
  <c r="G55" i="5"/>
  <c r="J54" i="5"/>
  <c r="G54" i="5"/>
  <c r="J53" i="5"/>
  <c r="G53" i="5"/>
  <c r="J52" i="5"/>
  <c r="G52" i="5"/>
  <c r="J51" i="5"/>
  <c r="G51" i="5"/>
  <c r="J50" i="5"/>
  <c r="G50" i="5"/>
  <c r="J49" i="5"/>
  <c r="G49" i="5"/>
  <c r="J48" i="5"/>
  <c r="G48" i="5"/>
  <c r="J47" i="5"/>
  <c r="G47" i="5"/>
  <c r="J46" i="5"/>
  <c r="G46" i="5"/>
  <c r="J45" i="5"/>
  <c r="G39" i="5" s="1"/>
  <c r="G45" i="5"/>
  <c r="G38" i="5" s="1"/>
  <c r="J44" i="5"/>
  <c r="G44" i="5"/>
  <c r="J43" i="5"/>
  <c r="G43" i="5"/>
  <c r="F38" i="5" s="1"/>
  <c r="H38" i="5" s="1"/>
  <c r="F39" i="5"/>
  <c r="E27" i="5"/>
  <c r="D27" i="5"/>
  <c r="F27" i="5" s="1"/>
  <c r="E26" i="5"/>
  <c r="D26" i="5"/>
  <c r="F26" i="5" s="1"/>
  <c r="C6" i="5"/>
  <c r="D6" i="5"/>
  <c r="E6" i="5"/>
  <c r="F6" i="5"/>
  <c r="G6" i="5"/>
  <c r="H6" i="5"/>
  <c r="I6" i="5"/>
  <c r="J6" i="5"/>
  <c r="K6" i="5"/>
  <c r="L6" i="5"/>
  <c r="C16" i="5"/>
  <c r="D16" i="5"/>
  <c r="E16" i="5"/>
  <c r="F16" i="5"/>
  <c r="G16" i="5"/>
  <c r="H16" i="5"/>
  <c r="I16" i="5"/>
  <c r="G27" i="2"/>
  <c r="G25" i="2"/>
  <c r="G24" i="2"/>
  <c r="G22" i="2"/>
  <c r="G21" i="2"/>
  <c r="G19" i="2"/>
  <c r="G18" i="2"/>
  <c r="G16" i="2"/>
  <c r="G15" i="2"/>
  <c r="G12" i="2"/>
  <c r="G11" i="2"/>
  <c r="G10" i="2"/>
  <c r="G9" i="2"/>
  <c r="D25" i="2"/>
  <c r="D24" i="2"/>
  <c r="D21" i="2"/>
  <c r="D20" i="2"/>
  <c r="D19" i="2"/>
  <c r="D16" i="2"/>
  <c r="D14" i="2"/>
  <c r="D13" i="2"/>
  <c r="D11" i="2"/>
  <c r="D10" i="2"/>
  <c r="G26" i="2"/>
  <c r="G23" i="2"/>
  <c r="G20" i="2"/>
  <c r="G17" i="2"/>
  <c r="G14" i="2"/>
  <c r="G13" i="2"/>
  <c r="G8" i="2"/>
  <c r="D27" i="2"/>
  <c r="D26" i="2"/>
  <c r="D23" i="2"/>
  <c r="D22" i="2"/>
  <c r="D18" i="2"/>
  <c r="D17" i="2"/>
  <c r="D15" i="2"/>
  <c r="D12" i="2"/>
  <c r="D9" i="2"/>
  <c r="D8" i="2"/>
  <c r="C30" i="3"/>
  <c r="D7" i="4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G29" i="1"/>
  <c r="G28" i="1"/>
  <c r="G27" i="1"/>
  <c r="G26" i="1"/>
  <c r="G25" i="1"/>
  <c r="G24" i="1"/>
  <c r="D24" i="1"/>
  <c r="D25" i="1" s="1"/>
  <c r="G23" i="1"/>
  <c r="G22" i="1"/>
  <c r="G21" i="1"/>
  <c r="G20" i="1"/>
  <c r="G19" i="1"/>
  <c r="D19" i="1"/>
  <c r="G18" i="1"/>
  <c r="D18" i="1"/>
  <c r="D20" i="1" s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3" i="2" l="1"/>
  <c r="C3" i="2"/>
  <c r="H39" i="5"/>
  <c r="D4" i="2"/>
  <c r="C4" i="2"/>
  <c r="E3" i="2" l="1"/>
  <c r="D28" i="2" s="1"/>
  <c r="E4" i="2"/>
  <c r="G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ID#AAAA8s5up_s
    (2023-11-23 14:29:54)
Digitar aquí el valor que responde el paciente
	-Kely Johana Bonilla Vargas</t>
        </r>
      </text>
    </comment>
    <comment ref="F2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ID#AAAA8s5up_o
    (2023-11-23 14:29:54)
La escala se divide en dos. Cada parte debe sumarse, el resultado de cada sección debes buscarlo aquí
	-Kely Johana Bonilla Vargas</t>
        </r>
      </text>
    </comment>
    <comment ref="G2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======
ID#AAAA8s5up_c
    (2023-11-23 14:29:54)
Este valor corresponde a la suma, dividido entre 9 que es el número de ítems. Este es el valor que debes poner en la base en SNAP Inatención o Hiperact. según sea el caso. No olvides que se pone sin coma ni punto
	-Kely Johana Bonilla Vargas</t>
        </r>
      </text>
    </comment>
    <comment ref="D20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ID#AAAA8s5up_g
    (2023-11-23 14:29:54)
Este resultado se digita en la base, en el espacio STAI-E
	-Kely Johana Bonilla Vargas</t>
        </r>
      </text>
    </comment>
    <comment ref="D25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ID#AAAA8s5up_k
    (2023-11-23 14:29:54)
Este resultado se digita en la base, en el espacio STAI-R
	-Kely Johana Bonilla Vargas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5Z69dTQxFiVcsYeAgaEZe6vf7y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C7D46C84-8A16-4B6B-ADE2-4DB581C0C397}">
      <text>
        <r>
          <rPr>
            <sz val="10"/>
            <color rgb="FF000000"/>
            <rFont val="Arial"/>
            <family val="2"/>
            <scheme val="minor"/>
          </rPr>
          <t>======
ID#AAAA8s5up_o
    (2023-11-23 14:29:54)
La escala se divide en dos. Cada parte debe sumarse, el resultado de cada sección debes buscarlo aquí
	-Kely Johana Bonilla Vargas</t>
        </r>
      </text>
    </comment>
    <comment ref="C3" authorId="0" shapeId="0" xr:uid="{EDAF4087-6B93-4107-9130-0D149C6380DE}">
      <text>
        <r>
          <rPr>
            <sz val="10"/>
            <color rgb="FF000000"/>
            <rFont val="Arial"/>
            <family val="2"/>
            <scheme val="minor"/>
          </rPr>
          <t>======
ID#AAAA8s5up_c
    (2023-11-23 14:29:54)
Este valor corresponde a la suma, dividido entre 9 que es el número de ítems. Este es el valor que debes poner en la base en SNAP Inatención o Hiperact. según sea el caso. No olvides que se pone sin coma ni punto
	-Kely Johana Bonilla Vargas</t>
        </r>
      </text>
    </comment>
  </commentList>
</comments>
</file>

<file path=xl/sharedStrings.xml><?xml version="1.0" encoding="utf-8"?>
<sst xmlns="http://schemas.openxmlformats.org/spreadsheetml/2006/main" count="80" uniqueCount="33">
  <si>
    <t>STAI</t>
  </si>
  <si>
    <t>Resultado SNAP</t>
  </si>
  <si>
    <t>#</t>
  </si>
  <si>
    <t>Respuesta</t>
  </si>
  <si>
    <t>Suma de puntajes</t>
  </si>
  <si>
    <t>Puntaje final</t>
  </si>
  <si>
    <t>Estado</t>
  </si>
  <si>
    <t>A</t>
  </si>
  <si>
    <t>B</t>
  </si>
  <si>
    <t>Total Estado</t>
  </si>
  <si>
    <t xml:space="preserve">Rasgo </t>
  </si>
  <si>
    <t>Total Rasgo</t>
  </si>
  <si>
    <t xml:space="preserve">Estado </t>
  </si>
  <si>
    <t xml:space="preserve">Puntaje invertido </t>
  </si>
  <si>
    <t>A:</t>
  </si>
  <si>
    <t xml:space="preserve">Puntaje directo </t>
  </si>
  <si>
    <t xml:space="preserve">B ítem: </t>
  </si>
  <si>
    <t>Puntaje</t>
  </si>
  <si>
    <t>Corregido</t>
  </si>
  <si>
    <t>30+A-B</t>
  </si>
  <si>
    <t>Rasgo</t>
  </si>
  <si>
    <t>21+A-B</t>
  </si>
  <si>
    <t>Total</t>
  </si>
  <si>
    <t>Meter a la base</t>
  </si>
  <si>
    <t>I</t>
  </si>
  <si>
    <t>Aciertos</t>
  </si>
  <si>
    <t>Omisiones</t>
  </si>
  <si>
    <t>Errores</t>
  </si>
  <si>
    <t xml:space="preserve">IGAP PD: </t>
  </si>
  <si>
    <t>PD</t>
  </si>
  <si>
    <t>PB</t>
  </si>
  <si>
    <t>Estado ítem</t>
  </si>
  <si>
    <t>Rasgo ítem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</si>
</sst>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2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0" fontId="1" fillId="4" borderId="3" xfId="0" applyFont="1" applyFill="1" applyBorder="1"/>
    <xf numFmtId="0" fontId="3" fillId="0" borderId="3" xfId="0" applyFont="1" applyBorder="1"/>
    <xf numFmtId="0" fontId="1" fillId="0" borderId="3" xfId="0" applyFont="1" applyBorder="1"/>
    <xf numFmtId="164" fontId="3" fillId="0" borderId="3" xfId="0" applyNumberFormat="1" applyFont="1" applyBorder="1"/>
    <xf numFmtId="0" fontId="3" fillId="0" borderId="0" xfId="0" applyFont="1" applyAlignment="1">
      <alignment horizontal="right"/>
    </xf>
    <xf numFmtId="0" fontId="1" fillId="5" borderId="3" xfId="0" applyFont="1" applyFill="1" applyBorder="1"/>
    <xf numFmtId="0" fontId="1" fillId="6" borderId="3" xfId="0" applyFont="1" applyFill="1" applyBorder="1"/>
    <xf numFmtId="164" fontId="3" fillId="0" borderId="0" xfId="0" applyNumberFormat="1" applyFont="1"/>
    <xf numFmtId="0" fontId="3" fillId="0" borderId="0" xfId="0" applyFont="1"/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center" vertical="top"/>
    </xf>
    <xf numFmtId="0" fontId="0" fillId="9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11" borderId="0" xfId="0" applyFill="1"/>
    <xf numFmtId="0" fontId="4" fillId="0" borderId="0" xfId="0" applyFont="1" applyAlignment="1">
      <alignment vertical="top"/>
    </xf>
    <xf numFmtId="0" fontId="6" fillId="0" borderId="0" xfId="0" applyFont="1"/>
    <xf numFmtId="164" fontId="3" fillId="12" borderId="1" xfId="0" applyNumberFormat="1" applyFont="1" applyFill="1" applyBorder="1"/>
    <xf numFmtId="0" fontId="0" fillId="11" borderId="4" xfId="0" applyFill="1" applyBorder="1"/>
    <xf numFmtId="0" fontId="0" fillId="14" borderId="0" xfId="0" applyFill="1"/>
    <xf numFmtId="0" fontId="0" fillId="0" borderId="4" xfId="0" applyBorder="1" applyProtection="1">
      <protection locked="0"/>
    </xf>
    <xf numFmtId="0" fontId="5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5" fillId="13" borderId="0" xfId="0" applyFont="1" applyFill="1"/>
    <xf numFmtId="0" fontId="0" fillId="0" borderId="7" xfId="0" applyBorder="1"/>
    <xf numFmtId="0" fontId="0" fillId="10" borderId="0" xfId="0" applyFill="1" applyAlignment="1">
      <alignment horizontal="center" vertical="center"/>
    </xf>
    <xf numFmtId="0" fontId="0" fillId="7" borderId="4" xfId="0" applyFill="1" applyBorder="1"/>
    <xf numFmtId="0" fontId="0" fillId="9" borderId="4" xfId="0" applyFill="1" applyBorder="1"/>
    <xf numFmtId="0" fontId="0" fillId="0" borderId="4" xfId="0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I1000"/>
  <sheetViews>
    <sheetView workbookViewId="0">
      <selection activeCell="F1" sqref="F1:G29"/>
    </sheetView>
  </sheetViews>
  <sheetFormatPr baseColWidth="10" defaultColWidth="12.54296875" defaultRowHeight="15" customHeight="1" x14ac:dyDescent="0.25"/>
  <cols>
    <col min="1" max="1" width="6.453125" customWidth="1"/>
    <col min="2" max="5" width="12.54296875" customWidth="1"/>
    <col min="6" max="6" width="15" customWidth="1"/>
  </cols>
  <sheetData>
    <row r="1" spans="1:9" ht="15.75" customHeight="1" x14ac:dyDescent="0.3">
      <c r="A1" s="37" t="s">
        <v>0</v>
      </c>
      <c r="B1" s="38"/>
      <c r="C1" s="1"/>
      <c r="F1" s="39" t="s">
        <v>1</v>
      </c>
      <c r="G1" s="38"/>
    </row>
    <row r="2" spans="1:9" ht="15.75" customHeight="1" x14ac:dyDescent="0.3">
      <c r="A2" s="2" t="s">
        <v>2</v>
      </c>
      <c r="B2" s="2" t="s">
        <v>3</v>
      </c>
      <c r="C2" s="1"/>
      <c r="F2" s="3" t="s">
        <v>4</v>
      </c>
      <c r="G2" s="4" t="s">
        <v>5</v>
      </c>
    </row>
    <row r="3" spans="1:9" ht="15.75" customHeight="1" x14ac:dyDescent="0.3">
      <c r="A3" s="5">
        <v>1</v>
      </c>
      <c r="B3" s="6">
        <v>1</v>
      </c>
      <c r="F3" s="7">
        <v>1</v>
      </c>
      <c r="G3" s="8">
        <f t="shared" ref="G3:G29" si="0">F3/9</f>
        <v>0.1111111111111111</v>
      </c>
    </row>
    <row r="4" spans="1:9" ht="15.75" customHeight="1" x14ac:dyDescent="0.3">
      <c r="A4" s="5">
        <v>2</v>
      </c>
      <c r="B4" s="6">
        <v>1</v>
      </c>
      <c r="F4" s="7">
        <v>2</v>
      </c>
      <c r="G4" s="8">
        <f t="shared" si="0"/>
        <v>0.22222222222222221</v>
      </c>
    </row>
    <row r="5" spans="1:9" ht="15.75" customHeight="1" x14ac:dyDescent="0.3">
      <c r="A5" s="5">
        <v>3</v>
      </c>
      <c r="B5" s="6">
        <v>3</v>
      </c>
      <c r="F5" s="7">
        <v>3</v>
      </c>
      <c r="G5" s="8">
        <f t="shared" si="0"/>
        <v>0.33333333333333331</v>
      </c>
    </row>
    <row r="6" spans="1:9" ht="15.75" customHeight="1" x14ac:dyDescent="0.3">
      <c r="A6" s="5">
        <v>4</v>
      </c>
      <c r="B6" s="6">
        <v>1</v>
      </c>
      <c r="F6" s="7">
        <v>4</v>
      </c>
      <c r="G6" s="8">
        <f t="shared" si="0"/>
        <v>0.44444444444444442</v>
      </c>
    </row>
    <row r="7" spans="1:9" ht="15.75" customHeight="1" x14ac:dyDescent="0.3">
      <c r="A7" s="5">
        <v>5</v>
      </c>
      <c r="B7" s="6">
        <v>2</v>
      </c>
      <c r="F7" s="7">
        <v>5</v>
      </c>
      <c r="G7" s="8">
        <f t="shared" si="0"/>
        <v>0.55555555555555558</v>
      </c>
    </row>
    <row r="8" spans="1:9" ht="15.75" customHeight="1" x14ac:dyDescent="0.3">
      <c r="A8" s="5">
        <v>6</v>
      </c>
      <c r="B8" s="6">
        <v>1</v>
      </c>
      <c r="F8" s="7">
        <v>6</v>
      </c>
      <c r="G8" s="8">
        <f t="shared" si="0"/>
        <v>0.66666666666666663</v>
      </c>
    </row>
    <row r="9" spans="1:9" ht="15.75" customHeight="1" x14ac:dyDescent="0.3">
      <c r="A9" s="5">
        <v>7</v>
      </c>
      <c r="B9" s="6">
        <v>0</v>
      </c>
      <c r="F9" s="7">
        <v>7</v>
      </c>
      <c r="G9" s="8">
        <f t="shared" si="0"/>
        <v>0.77777777777777779</v>
      </c>
    </row>
    <row r="10" spans="1:9" ht="15.75" customHeight="1" x14ac:dyDescent="0.3">
      <c r="A10" s="5">
        <v>8</v>
      </c>
      <c r="B10" s="6">
        <v>3</v>
      </c>
      <c r="F10" s="7">
        <v>8</v>
      </c>
      <c r="G10" s="8">
        <f t="shared" si="0"/>
        <v>0.88888888888888884</v>
      </c>
    </row>
    <row r="11" spans="1:9" ht="15.75" customHeight="1" x14ac:dyDescent="0.3">
      <c r="A11" s="5">
        <v>9</v>
      </c>
      <c r="B11" s="6">
        <v>1</v>
      </c>
      <c r="F11" s="7">
        <v>9</v>
      </c>
      <c r="G11" s="8">
        <f t="shared" si="0"/>
        <v>1</v>
      </c>
    </row>
    <row r="12" spans="1:9" ht="15.75" customHeight="1" x14ac:dyDescent="0.3">
      <c r="A12" s="5">
        <v>10</v>
      </c>
      <c r="B12" s="6">
        <v>0</v>
      </c>
      <c r="F12" s="7">
        <v>10</v>
      </c>
      <c r="G12" s="8">
        <f t="shared" si="0"/>
        <v>1.1111111111111112</v>
      </c>
    </row>
    <row r="13" spans="1:9" ht="15.75" customHeight="1" x14ac:dyDescent="0.3">
      <c r="A13" s="5">
        <v>11</v>
      </c>
      <c r="B13" s="6">
        <v>2</v>
      </c>
      <c r="F13" s="7">
        <v>11</v>
      </c>
      <c r="G13" s="8">
        <f t="shared" si="0"/>
        <v>1.2222222222222223</v>
      </c>
      <c r="I13" s="9"/>
    </row>
    <row r="14" spans="1:9" ht="15.75" customHeight="1" x14ac:dyDescent="0.3">
      <c r="A14" s="5">
        <v>12</v>
      </c>
      <c r="B14" s="6">
        <v>3</v>
      </c>
      <c r="F14" s="7">
        <v>12</v>
      </c>
      <c r="G14" s="8">
        <f t="shared" si="0"/>
        <v>1.3333333333333333</v>
      </c>
      <c r="I14" s="9"/>
    </row>
    <row r="15" spans="1:9" ht="15.75" customHeight="1" x14ac:dyDescent="0.3">
      <c r="A15" s="5">
        <v>13</v>
      </c>
      <c r="B15" s="6">
        <v>1</v>
      </c>
      <c r="F15" s="7">
        <v>13</v>
      </c>
      <c r="G15" s="8">
        <f t="shared" si="0"/>
        <v>1.4444444444444444</v>
      </c>
      <c r="I15" s="9"/>
    </row>
    <row r="16" spans="1:9" ht="15.75" customHeight="1" x14ac:dyDescent="0.3">
      <c r="A16" s="5">
        <v>14</v>
      </c>
      <c r="B16" s="6">
        <v>3</v>
      </c>
      <c r="F16" s="7">
        <v>14</v>
      </c>
      <c r="G16" s="8">
        <f t="shared" si="0"/>
        <v>1.5555555555555556</v>
      </c>
      <c r="I16" s="9"/>
    </row>
    <row r="17" spans="1:9" ht="15.75" customHeight="1" x14ac:dyDescent="0.3">
      <c r="A17" s="5">
        <v>15</v>
      </c>
      <c r="B17" s="6">
        <v>3</v>
      </c>
      <c r="C17" s="7" t="s">
        <v>6</v>
      </c>
      <c r="D17" s="6"/>
      <c r="F17" s="7">
        <v>15</v>
      </c>
      <c r="G17" s="8">
        <f t="shared" si="0"/>
        <v>1.6666666666666667</v>
      </c>
      <c r="I17" s="9"/>
    </row>
    <row r="18" spans="1:9" ht="15.75" customHeight="1" x14ac:dyDescent="0.3">
      <c r="A18" s="5">
        <v>16</v>
      </c>
      <c r="B18" s="6">
        <v>1</v>
      </c>
      <c r="C18" s="7" t="s">
        <v>7</v>
      </c>
      <c r="D18" s="6">
        <f>B5+B6+B8+B9+B11+B14+B15+B16+B19+B20</f>
        <v>17</v>
      </c>
      <c r="F18" s="7">
        <v>16</v>
      </c>
      <c r="G18" s="8">
        <f t="shared" si="0"/>
        <v>1.7777777777777777</v>
      </c>
      <c r="I18" s="9"/>
    </row>
    <row r="19" spans="1:9" ht="15.75" customHeight="1" x14ac:dyDescent="0.3">
      <c r="A19" s="5">
        <v>17</v>
      </c>
      <c r="B19" s="6">
        <v>3</v>
      </c>
      <c r="C19" s="7" t="s">
        <v>8</v>
      </c>
      <c r="D19" s="6">
        <f>B3+B4+B7+B10+B12+B13+B17+B18+B21+B22</f>
        <v>16</v>
      </c>
      <c r="F19" s="7">
        <v>17</v>
      </c>
      <c r="G19" s="8">
        <f t="shared" si="0"/>
        <v>1.8888888888888888</v>
      </c>
      <c r="I19" s="9"/>
    </row>
    <row r="20" spans="1:9" ht="15.75" customHeight="1" x14ac:dyDescent="0.3">
      <c r="A20" s="5">
        <v>18</v>
      </c>
      <c r="B20" s="6">
        <v>1</v>
      </c>
      <c r="C20" s="7" t="s">
        <v>9</v>
      </c>
      <c r="D20" s="5">
        <f>(D18-D19)+50</f>
        <v>51</v>
      </c>
      <c r="F20" s="7">
        <v>18</v>
      </c>
      <c r="G20" s="8">
        <f t="shared" si="0"/>
        <v>2</v>
      </c>
      <c r="I20" s="9"/>
    </row>
    <row r="21" spans="1:9" ht="15.75" customHeight="1" x14ac:dyDescent="0.3">
      <c r="A21" s="5">
        <v>19</v>
      </c>
      <c r="B21" s="6">
        <v>2</v>
      </c>
      <c r="F21" s="7">
        <v>19</v>
      </c>
      <c r="G21" s="8">
        <f t="shared" si="0"/>
        <v>2.1111111111111112</v>
      </c>
      <c r="I21" s="9"/>
    </row>
    <row r="22" spans="1:9" ht="15.75" customHeight="1" x14ac:dyDescent="0.3">
      <c r="A22" s="5">
        <v>20</v>
      </c>
      <c r="B22" s="6">
        <v>1</v>
      </c>
      <c r="C22" s="7" t="s">
        <v>10</v>
      </c>
      <c r="D22" s="6"/>
      <c r="F22" s="7">
        <v>20</v>
      </c>
      <c r="G22" s="8">
        <f t="shared" si="0"/>
        <v>2.2222222222222223</v>
      </c>
      <c r="I22" s="9"/>
    </row>
    <row r="23" spans="1:9" ht="15.75" customHeight="1" x14ac:dyDescent="0.3">
      <c r="A23" s="10">
        <v>21</v>
      </c>
      <c r="B23" s="6">
        <v>2</v>
      </c>
      <c r="C23" s="7">
        <v>2</v>
      </c>
      <c r="D23" s="6">
        <v>1</v>
      </c>
      <c r="F23" s="7">
        <v>21</v>
      </c>
      <c r="G23" s="8">
        <f t="shared" si="0"/>
        <v>2.3333333333333335</v>
      </c>
      <c r="I23" s="9"/>
    </row>
    <row r="24" spans="1:9" ht="15.75" customHeight="1" x14ac:dyDescent="0.3">
      <c r="A24" s="10">
        <v>22</v>
      </c>
      <c r="B24" s="6">
        <v>3</v>
      </c>
      <c r="C24" s="7" t="s">
        <v>8</v>
      </c>
      <c r="D24" s="6">
        <f>B23+B29+B30+B33+B37+B39</f>
        <v>7</v>
      </c>
      <c r="F24" s="7">
        <v>22</v>
      </c>
      <c r="G24" s="8">
        <f t="shared" si="0"/>
        <v>2.4444444444444446</v>
      </c>
      <c r="I24" s="9"/>
    </row>
    <row r="25" spans="1:9" ht="15.75" customHeight="1" x14ac:dyDescent="0.3">
      <c r="A25" s="10">
        <v>23</v>
      </c>
      <c r="B25" s="6">
        <v>1</v>
      </c>
      <c r="C25" s="7" t="s">
        <v>11</v>
      </c>
      <c r="D25" s="11">
        <f>(D23-D24)+35</f>
        <v>29</v>
      </c>
      <c r="F25" s="7">
        <v>23</v>
      </c>
      <c r="G25" s="8">
        <f t="shared" si="0"/>
        <v>2.5555555555555554</v>
      </c>
      <c r="I25" s="9"/>
    </row>
    <row r="26" spans="1:9" ht="15.75" customHeight="1" x14ac:dyDescent="0.3">
      <c r="A26" s="10">
        <v>24</v>
      </c>
      <c r="B26" s="6">
        <v>2</v>
      </c>
      <c r="F26" s="7">
        <v>24</v>
      </c>
      <c r="G26" s="8">
        <f t="shared" si="0"/>
        <v>2.6666666666666665</v>
      </c>
      <c r="I26" s="9"/>
    </row>
    <row r="27" spans="1:9" ht="15.75" customHeight="1" x14ac:dyDescent="0.3">
      <c r="A27" s="10">
        <v>25</v>
      </c>
      <c r="B27" s="6">
        <v>0</v>
      </c>
      <c r="F27" s="7">
        <v>25</v>
      </c>
      <c r="G27" s="8">
        <f t="shared" si="0"/>
        <v>2.7777777777777777</v>
      </c>
      <c r="I27" s="9"/>
    </row>
    <row r="28" spans="1:9" ht="15.75" customHeight="1" x14ac:dyDescent="0.3">
      <c r="A28" s="10">
        <v>26</v>
      </c>
      <c r="B28" s="6">
        <v>2</v>
      </c>
      <c r="F28" s="7">
        <v>26</v>
      </c>
      <c r="G28" s="8">
        <f t="shared" si="0"/>
        <v>2.8888888888888888</v>
      </c>
      <c r="I28" s="9"/>
    </row>
    <row r="29" spans="1:9" ht="15.75" customHeight="1" x14ac:dyDescent="0.3">
      <c r="A29" s="10">
        <v>27</v>
      </c>
      <c r="B29" s="6">
        <v>1</v>
      </c>
      <c r="F29" s="7">
        <v>27</v>
      </c>
      <c r="G29" s="8">
        <f t="shared" si="0"/>
        <v>3</v>
      </c>
      <c r="I29" s="9"/>
    </row>
    <row r="30" spans="1:9" ht="15.75" customHeight="1" x14ac:dyDescent="0.3">
      <c r="A30" s="10">
        <v>28</v>
      </c>
      <c r="B30" s="6">
        <v>1</v>
      </c>
      <c r="I30" s="9"/>
    </row>
    <row r="31" spans="1:9" ht="15.75" customHeight="1" x14ac:dyDescent="0.3">
      <c r="A31" s="10">
        <v>29</v>
      </c>
      <c r="B31" s="6">
        <v>3</v>
      </c>
      <c r="G31" s="12"/>
      <c r="I31" s="9"/>
    </row>
    <row r="32" spans="1:9" ht="15.75" customHeight="1" x14ac:dyDescent="0.3">
      <c r="A32" s="10">
        <v>30</v>
      </c>
      <c r="B32" s="6">
        <v>1</v>
      </c>
      <c r="G32" s="12"/>
      <c r="I32" s="9"/>
    </row>
    <row r="33" spans="1:9" ht="15.75" customHeight="1" x14ac:dyDescent="0.3">
      <c r="A33" s="10">
        <v>31</v>
      </c>
      <c r="B33" s="6">
        <v>1</v>
      </c>
      <c r="G33" s="12"/>
      <c r="I33" s="9"/>
    </row>
    <row r="34" spans="1:9" ht="15.75" customHeight="1" x14ac:dyDescent="0.3">
      <c r="A34" s="10">
        <v>32</v>
      </c>
      <c r="B34" s="6">
        <v>1</v>
      </c>
      <c r="G34" s="12"/>
    </row>
    <row r="35" spans="1:9" ht="15.75" customHeight="1" x14ac:dyDescent="0.3">
      <c r="A35" s="10">
        <v>33</v>
      </c>
      <c r="B35" s="6">
        <v>2</v>
      </c>
      <c r="G35" s="12"/>
    </row>
    <row r="36" spans="1:9" ht="15.75" customHeight="1" x14ac:dyDescent="0.3">
      <c r="A36" s="10">
        <v>34</v>
      </c>
      <c r="B36" s="6">
        <v>3</v>
      </c>
      <c r="G36" s="12"/>
    </row>
    <row r="37" spans="1:9" ht="15.75" customHeight="1" x14ac:dyDescent="0.3">
      <c r="A37" s="10">
        <v>35</v>
      </c>
      <c r="B37" s="6">
        <v>1</v>
      </c>
      <c r="G37" s="12"/>
    </row>
    <row r="38" spans="1:9" ht="15.75" customHeight="1" x14ac:dyDescent="0.3">
      <c r="A38" s="10">
        <v>36</v>
      </c>
      <c r="B38" s="6">
        <v>2</v>
      </c>
      <c r="G38" s="12"/>
    </row>
    <row r="39" spans="1:9" ht="15.75" customHeight="1" x14ac:dyDescent="0.3">
      <c r="A39" s="10">
        <v>37</v>
      </c>
      <c r="B39" s="6">
        <v>1</v>
      </c>
      <c r="G39" s="12"/>
    </row>
    <row r="40" spans="1:9" ht="15.75" customHeight="1" x14ac:dyDescent="0.3">
      <c r="A40" s="10">
        <v>38</v>
      </c>
      <c r="B40" s="6">
        <v>1</v>
      </c>
      <c r="G40" s="12"/>
    </row>
    <row r="41" spans="1:9" ht="15.75" customHeight="1" x14ac:dyDescent="0.3">
      <c r="A41" s="10">
        <v>39</v>
      </c>
      <c r="B41" s="6">
        <v>1</v>
      </c>
      <c r="G41" s="12"/>
    </row>
    <row r="42" spans="1:9" ht="15.75" customHeight="1" x14ac:dyDescent="0.3">
      <c r="A42" s="10">
        <v>40</v>
      </c>
      <c r="B42" s="6">
        <v>3</v>
      </c>
      <c r="G42" s="12"/>
    </row>
    <row r="43" spans="1:9" ht="15.75" customHeight="1" x14ac:dyDescent="0.3">
      <c r="A43" s="1"/>
      <c r="B43" s="13"/>
      <c r="G43" s="12"/>
    </row>
    <row r="44" spans="1:9" ht="15.75" customHeight="1" x14ac:dyDescent="0.3">
      <c r="A44" s="1"/>
      <c r="G44" s="12"/>
    </row>
    <row r="45" spans="1:9" ht="15.75" customHeight="1" x14ac:dyDescent="0.3">
      <c r="A45" s="1"/>
      <c r="G45" s="12"/>
    </row>
    <row r="46" spans="1:9" ht="15.75" customHeight="1" x14ac:dyDescent="0.3">
      <c r="A46" s="1"/>
      <c r="G46" s="12"/>
    </row>
    <row r="47" spans="1:9" ht="15.75" customHeight="1" x14ac:dyDescent="0.3">
      <c r="A47" s="1"/>
      <c r="G47" s="12"/>
    </row>
    <row r="48" spans="1:9" ht="15.75" customHeight="1" x14ac:dyDescent="0.3">
      <c r="A48" s="1"/>
      <c r="G48" s="12"/>
    </row>
    <row r="49" spans="1:7" ht="15.75" customHeight="1" x14ac:dyDescent="0.3">
      <c r="A49" s="1"/>
      <c r="G49" s="12"/>
    </row>
    <row r="50" spans="1:7" ht="15.75" customHeight="1" x14ac:dyDescent="0.3">
      <c r="A50" s="1"/>
      <c r="G50" s="12"/>
    </row>
    <row r="51" spans="1:7" ht="15.75" customHeight="1" x14ac:dyDescent="0.3">
      <c r="A51" s="1"/>
      <c r="G51" s="12"/>
    </row>
    <row r="52" spans="1:7" ht="15.75" customHeight="1" x14ac:dyDescent="0.3">
      <c r="A52" s="1"/>
      <c r="G52" s="12"/>
    </row>
    <row r="53" spans="1:7" ht="15.75" customHeight="1" x14ac:dyDescent="0.3">
      <c r="A53" s="1"/>
      <c r="G53" s="12"/>
    </row>
    <row r="54" spans="1:7" ht="15.75" customHeight="1" x14ac:dyDescent="0.3">
      <c r="A54" s="1"/>
      <c r="G54" s="12"/>
    </row>
    <row r="55" spans="1:7" ht="15.75" customHeight="1" x14ac:dyDescent="0.3">
      <c r="A55" s="1"/>
      <c r="G55" s="12"/>
    </row>
    <row r="56" spans="1:7" ht="15.75" customHeight="1" x14ac:dyDescent="0.3">
      <c r="A56" s="1"/>
      <c r="G56" s="12"/>
    </row>
    <row r="57" spans="1:7" ht="15.75" customHeight="1" x14ac:dyDescent="0.3">
      <c r="A57" s="1"/>
      <c r="G57" s="12"/>
    </row>
    <row r="58" spans="1:7" ht="15.75" customHeight="1" x14ac:dyDescent="0.3">
      <c r="A58" s="1"/>
      <c r="G58" s="12"/>
    </row>
    <row r="59" spans="1:7" ht="15.75" customHeight="1" x14ac:dyDescent="0.3">
      <c r="A59" s="1"/>
      <c r="G59" s="12"/>
    </row>
    <row r="60" spans="1:7" ht="15.75" customHeight="1" x14ac:dyDescent="0.3">
      <c r="A60" s="1"/>
      <c r="G60" s="12"/>
    </row>
    <row r="61" spans="1:7" ht="15.75" customHeight="1" x14ac:dyDescent="0.3">
      <c r="A61" s="1"/>
      <c r="G61" s="12"/>
    </row>
    <row r="62" spans="1:7" ht="15.75" customHeight="1" x14ac:dyDescent="0.3">
      <c r="A62" s="1"/>
      <c r="G62" s="12"/>
    </row>
    <row r="63" spans="1:7" ht="15.75" customHeight="1" x14ac:dyDescent="0.3">
      <c r="A63" s="1"/>
      <c r="G63" s="12"/>
    </row>
    <row r="64" spans="1:7" ht="15.75" customHeight="1" x14ac:dyDescent="0.3">
      <c r="A64" s="1"/>
      <c r="G64" s="12"/>
    </row>
    <row r="65" spans="1:7" ht="15.75" customHeight="1" x14ac:dyDescent="0.3">
      <c r="A65" s="1"/>
      <c r="G65" s="12"/>
    </row>
    <row r="66" spans="1:7" ht="15.75" customHeight="1" x14ac:dyDescent="0.3">
      <c r="A66" s="1"/>
      <c r="G66" s="12"/>
    </row>
    <row r="67" spans="1:7" ht="15.75" customHeight="1" x14ac:dyDescent="0.3">
      <c r="A67" s="1"/>
      <c r="G67" s="12"/>
    </row>
    <row r="68" spans="1:7" ht="15.75" customHeight="1" x14ac:dyDescent="0.3">
      <c r="A68" s="1"/>
      <c r="G68" s="12"/>
    </row>
    <row r="69" spans="1:7" ht="15.75" customHeight="1" x14ac:dyDescent="0.3">
      <c r="A69" s="1"/>
      <c r="G69" s="12"/>
    </row>
    <row r="70" spans="1:7" ht="15.75" customHeight="1" x14ac:dyDescent="0.3">
      <c r="A70" s="1"/>
      <c r="G70" s="12"/>
    </row>
    <row r="71" spans="1:7" ht="15.75" customHeight="1" x14ac:dyDescent="0.3">
      <c r="A71" s="1"/>
      <c r="G71" s="12"/>
    </row>
    <row r="72" spans="1:7" ht="15.75" customHeight="1" x14ac:dyDescent="0.3">
      <c r="A72" s="1"/>
      <c r="G72" s="12"/>
    </row>
    <row r="73" spans="1:7" ht="15.75" customHeight="1" x14ac:dyDescent="0.3">
      <c r="A73" s="1"/>
      <c r="G73" s="12"/>
    </row>
    <row r="74" spans="1:7" ht="15.75" customHeight="1" x14ac:dyDescent="0.3">
      <c r="A74" s="1"/>
      <c r="G74" s="12"/>
    </row>
    <row r="75" spans="1:7" ht="15.75" customHeight="1" x14ac:dyDescent="0.3">
      <c r="A75" s="1"/>
      <c r="G75" s="12"/>
    </row>
    <row r="76" spans="1:7" ht="15.75" customHeight="1" x14ac:dyDescent="0.3">
      <c r="A76" s="1"/>
      <c r="G76" s="12"/>
    </row>
    <row r="77" spans="1:7" ht="15.75" customHeight="1" x14ac:dyDescent="0.3">
      <c r="A77" s="1"/>
      <c r="G77" s="12"/>
    </row>
    <row r="78" spans="1:7" ht="15.75" customHeight="1" x14ac:dyDescent="0.3">
      <c r="A78" s="1"/>
      <c r="G78" s="12"/>
    </row>
    <row r="79" spans="1:7" ht="15.75" customHeight="1" x14ac:dyDescent="0.3">
      <c r="A79" s="1"/>
      <c r="G79" s="12"/>
    </row>
    <row r="80" spans="1:7" ht="15.75" customHeight="1" x14ac:dyDescent="0.3">
      <c r="A80" s="1"/>
      <c r="G80" s="12"/>
    </row>
    <row r="81" spans="1:7" ht="15.75" customHeight="1" x14ac:dyDescent="0.3">
      <c r="A81" s="1"/>
      <c r="G81" s="12"/>
    </row>
    <row r="82" spans="1:7" ht="15.75" customHeight="1" x14ac:dyDescent="0.3">
      <c r="A82" s="1"/>
      <c r="G82" s="12"/>
    </row>
    <row r="83" spans="1:7" ht="15.75" customHeight="1" x14ac:dyDescent="0.3">
      <c r="A83" s="1"/>
      <c r="G83" s="12"/>
    </row>
    <row r="84" spans="1:7" ht="15.75" customHeight="1" x14ac:dyDescent="0.3">
      <c r="A84" s="1"/>
      <c r="G84" s="12"/>
    </row>
    <row r="85" spans="1:7" ht="15.75" customHeight="1" x14ac:dyDescent="0.3">
      <c r="A85" s="1"/>
      <c r="G85" s="12"/>
    </row>
    <row r="86" spans="1:7" ht="15.75" customHeight="1" x14ac:dyDescent="0.3">
      <c r="A86" s="1"/>
      <c r="G86" s="12"/>
    </row>
    <row r="87" spans="1:7" ht="15.75" customHeight="1" x14ac:dyDescent="0.3">
      <c r="A87" s="1"/>
      <c r="G87" s="12"/>
    </row>
    <row r="88" spans="1:7" ht="15.75" customHeight="1" x14ac:dyDescent="0.3">
      <c r="A88" s="1"/>
      <c r="G88" s="12"/>
    </row>
    <row r="89" spans="1:7" ht="15.75" customHeight="1" x14ac:dyDescent="0.3">
      <c r="A89" s="1"/>
      <c r="G89" s="12"/>
    </row>
    <row r="90" spans="1:7" ht="15.75" customHeight="1" x14ac:dyDescent="0.3">
      <c r="A90" s="1"/>
      <c r="G90" s="12"/>
    </row>
    <row r="91" spans="1:7" ht="15.75" customHeight="1" x14ac:dyDescent="0.3">
      <c r="A91" s="1"/>
      <c r="G91" s="12"/>
    </row>
    <row r="92" spans="1:7" ht="15.75" customHeight="1" x14ac:dyDescent="0.3">
      <c r="A92" s="1"/>
      <c r="G92" s="12"/>
    </row>
    <row r="93" spans="1:7" ht="15.75" customHeight="1" x14ac:dyDescent="0.3">
      <c r="A93" s="1"/>
      <c r="G93" s="12"/>
    </row>
    <row r="94" spans="1:7" ht="15.75" customHeight="1" x14ac:dyDescent="0.3">
      <c r="A94" s="1"/>
      <c r="G94" s="12"/>
    </row>
    <row r="95" spans="1:7" ht="15.75" customHeight="1" x14ac:dyDescent="0.3">
      <c r="A95" s="1"/>
      <c r="G95" s="12"/>
    </row>
    <row r="96" spans="1:7" ht="15.75" customHeight="1" x14ac:dyDescent="0.3">
      <c r="A96" s="1"/>
      <c r="G96" s="12"/>
    </row>
    <row r="97" spans="1:7" ht="15.75" customHeight="1" x14ac:dyDescent="0.3">
      <c r="A97" s="1"/>
      <c r="G97" s="12"/>
    </row>
    <row r="98" spans="1:7" ht="15.75" customHeight="1" x14ac:dyDescent="0.3">
      <c r="A98" s="1"/>
      <c r="G98" s="12"/>
    </row>
    <row r="99" spans="1:7" ht="15.75" customHeight="1" x14ac:dyDescent="0.3">
      <c r="A99" s="1"/>
      <c r="G99" s="12"/>
    </row>
    <row r="100" spans="1:7" ht="15.75" customHeight="1" x14ac:dyDescent="0.3">
      <c r="A100" s="1"/>
      <c r="G100" s="12"/>
    </row>
    <row r="101" spans="1:7" ht="15.75" customHeight="1" x14ac:dyDescent="0.3">
      <c r="A101" s="1"/>
      <c r="G101" s="12"/>
    </row>
    <row r="102" spans="1:7" ht="15.75" customHeight="1" x14ac:dyDescent="0.3">
      <c r="A102" s="1"/>
      <c r="G102" s="12"/>
    </row>
    <row r="103" spans="1:7" ht="15.75" customHeight="1" x14ac:dyDescent="0.3">
      <c r="A103" s="1"/>
      <c r="G103" s="12"/>
    </row>
    <row r="104" spans="1:7" ht="15.75" customHeight="1" x14ac:dyDescent="0.3">
      <c r="A104" s="1"/>
      <c r="G104" s="12"/>
    </row>
    <row r="105" spans="1:7" ht="15.75" customHeight="1" x14ac:dyDescent="0.3">
      <c r="A105" s="1"/>
      <c r="G105" s="12"/>
    </row>
    <row r="106" spans="1:7" ht="15.75" customHeight="1" x14ac:dyDescent="0.3">
      <c r="A106" s="1"/>
      <c r="G106" s="12"/>
    </row>
    <row r="107" spans="1:7" ht="15.75" customHeight="1" x14ac:dyDescent="0.3">
      <c r="A107" s="1"/>
      <c r="G107" s="12"/>
    </row>
    <row r="108" spans="1:7" ht="15.75" customHeight="1" x14ac:dyDescent="0.3">
      <c r="A108" s="1"/>
      <c r="G108" s="12"/>
    </row>
    <row r="109" spans="1:7" ht="15.75" customHeight="1" x14ac:dyDescent="0.3">
      <c r="A109" s="1"/>
      <c r="G109" s="12"/>
    </row>
    <row r="110" spans="1:7" ht="15.75" customHeight="1" x14ac:dyDescent="0.3">
      <c r="A110" s="1"/>
      <c r="G110" s="12"/>
    </row>
    <row r="111" spans="1:7" ht="15.75" customHeight="1" x14ac:dyDescent="0.3">
      <c r="A111" s="1"/>
      <c r="G111" s="12"/>
    </row>
    <row r="112" spans="1:7" ht="15.75" customHeight="1" x14ac:dyDescent="0.3">
      <c r="A112" s="1"/>
      <c r="G112" s="12"/>
    </row>
    <row r="113" spans="1:7" ht="15.75" customHeight="1" x14ac:dyDescent="0.3">
      <c r="A113" s="1"/>
      <c r="G113" s="12"/>
    </row>
    <row r="114" spans="1:7" ht="15.75" customHeight="1" x14ac:dyDescent="0.3">
      <c r="A114" s="1"/>
      <c r="G114" s="12"/>
    </row>
    <row r="115" spans="1:7" ht="15.75" customHeight="1" x14ac:dyDescent="0.3">
      <c r="A115" s="1"/>
      <c r="G115" s="12"/>
    </row>
    <row r="116" spans="1:7" ht="15.75" customHeight="1" x14ac:dyDescent="0.3">
      <c r="A116" s="1"/>
      <c r="G116" s="12"/>
    </row>
    <row r="117" spans="1:7" ht="15.75" customHeight="1" x14ac:dyDescent="0.3">
      <c r="A117" s="1"/>
      <c r="G117" s="12"/>
    </row>
    <row r="118" spans="1:7" ht="15.75" customHeight="1" x14ac:dyDescent="0.3">
      <c r="A118" s="1"/>
      <c r="G118" s="12"/>
    </row>
    <row r="119" spans="1:7" ht="15.75" customHeight="1" x14ac:dyDescent="0.3">
      <c r="A119" s="1"/>
      <c r="G119" s="12"/>
    </row>
    <row r="120" spans="1:7" ht="15.75" customHeight="1" x14ac:dyDescent="0.3">
      <c r="A120" s="1"/>
      <c r="G120" s="12"/>
    </row>
    <row r="121" spans="1:7" ht="15.75" customHeight="1" x14ac:dyDescent="0.3">
      <c r="A121" s="1"/>
      <c r="G121" s="12"/>
    </row>
    <row r="122" spans="1:7" ht="15.75" customHeight="1" x14ac:dyDescent="0.3">
      <c r="A122" s="1"/>
      <c r="G122" s="12"/>
    </row>
    <row r="123" spans="1:7" ht="15.75" customHeight="1" x14ac:dyDescent="0.3">
      <c r="A123" s="1"/>
      <c r="G123" s="12"/>
    </row>
    <row r="124" spans="1:7" ht="15.75" customHeight="1" x14ac:dyDescent="0.3">
      <c r="A124" s="1"/>
      <c r="G124" s="12"/>
    </row>
    <row r="125" spans="1:7" ht="15.75" customHeight="1" x14ac:dyDescent="0.3">
      <c r="A125" s="1"/>
      <c r="G125" s="12"/>
    </row>
    <row r="126" spans="1:7" ht="15.75" customHeight="1" x14ac:dyDescent="0.3">
      <c r="A126" s="1"/>
      <c r="G126" s="12"/>
    </row>
    <row r="127" spans="1:7" ht="15.75" customHeight="1" x14ac:dyDescent="0.3">
      <c r="A127" s="1"/>
      <c r="G127" s="12"/>
    </row>
    <row r="128" spans="1:7" ht="15.75" customHeight="1" x14ac:dyDescent="0.3">
      <c r="A128" s="1"/>
      <c r="G128" s="12"/>
    </row>
    <row r="129" spans="1:7" ht="15.75" customHeight="1" x14ac:dyDescent="0.3">
      <c r="A129" s="1"/>
      <c r="G129" s="12"/>
    </row>
    <row r="130" spans="1:7" ht="15.75" customHeight="1" x14ac:dyDescent="0.3">
      <c r="A130" s="1"/>
      <c r="G130" s="12"/>
    </row>
    <row r="131" spans="1:7" ht="15.75" customHeight="1" x14ac:dyDescent="0.3">
      <c r="A131" s="1"/>
      <c r="G131" s="12"/>
    </row>
    <row r="132" spans="1:7" ht="15.75" customHeight="1" x14ac:dyDescent="0.3">
      <c r="A132" s="1"/>
      <c r="G132" s="12"/>
    </row>
    <row r="133" spans="1:7" ht="15.75" customHeight="1" x14ac:dyDescent="0.3">
      <c r="A133" s="1"/>
      <c r="G133" s="12"/>
    </row>
    <row r="134" spans="1:7" ht="15.75" customHeight="1" x14ac:dyDescent="0.3">
      <c r="A134" s="1"/>
      <c r="G134" s="12"/>
    </row>
    <row r="135" spans="1:7" ht="15.75" customHeight="1" x14ac:dyDescent="0.3">
      <c r="A135" s="1"/>
      <c r="G135" s="12"/>
    </row>
    <row r="136" spans="1:7" ht="15.75" customHeight="1" x14ac:dyDescent="0.3">
      <c r="A136" s="1"/>
      <c r="G136" s="12"/>
    </row>
    <row r="137" spans="1:7" ht="15.75" customHeight="1" x14ac:dyDescent="0.3">
      <c r="A137" s="1"/>
      <c r="G137" s="12"/>
    </row>
    <row r="138" spans="1:7" ht="15.75" customHeight="1" x14ac:dyDescent="0.3">
      <c r="A138" s="1"/>
      <c r="G138" s="12"/>
    </row>
    <row r="139" spans="1:7" ht="15.75" customHeight="1" x14ac:dyDescent="0.3">
      <c r="A139" s="1"/>
      <c r="G139" s="12"/>
    </row>
    <row r="140" spans="1:7" ht="15.75" customHeight="1" x14ac:dyDescent="0.3">
      <c r="A140" s="1"/>
      <c r="G140" s="12"/>
    </row>
    <row r="141" spans="1:7" ht="15.75" customHeight="1" x14ac:dyDescent="0.3">
      <c r="A141" s="1"/>
      <c r="G141" s="12"/>
    </row>
    <row r="142" spans="1:7" ht="15.75" customHeight="1" x14ac:dyDescent="0.3">
      <c r="A142" s="1"/>
      <c r="G142" s="12"/>
    </row>
    <row r="143" spans="1:7" ht="15.75" customHeight="1" x14ac:dyDescent="0.3">
      <c r="A143" s="1"/>
      <c r="G143" s="12"/>
    </row>
    <row r="144" spans="1:7" ht="15.75" customHeight="1" x14ac:dyDescent="0.3">
      <c r="A144" s="1"/>
      <c r="G144" s="12"/>
    </row>
    <row r="145" spans="1:7" ht="15.75" customHeight="1" x14ac:dyDescent="0.3">
      <c r="A145" s="1"/>
      <c r="G145" s="12"/>
    </row>
    <row r="146" spans="1:7" ht="15.75" customHeight="1" x14ac:dyDescent="0.3">
      <c r="A146" s="1"/>
      <c r="G146" s="12"/>
    </row>
    <row r="147" spans="1:7" ht="15.75" customHeight="1" x14ac:dyDescent="0.3">
      <c r="A147" s="1"/>
      <c r="G147" s="12"/>
    </row>
    <row r="148" spans="1:7" ht="15.75" customHeight="1" x14ac:dyDescent="0.3">
      <c r="A148" s="1"/>
      <c r="G148" s="12"/>
    </row>
    <row r="149" spans="1:7" ht="15.75" customHeight="1" x14ac:dyDescent="0.3">
      <c r="A149" s="1"/>
      <c r="G149" s="12"/>
    </row>
    <row r="150" spans="1:7" ht="15.75" customHeight="1" x14ac:dyDescent="0.3">
      <c r="A150" s="1"/>
      <c r="G150" s="12"/>
    </row>
    <row r="151" spans="1:7" ht="15.75" customHeight="1" x14ac:dyDescent="0.3">
      <c r="A151" s="1"/>
      <c r="G151" s="12"/>
    </row>
    <row r="152" spans="1:7" ht="15.75" customHeight="1" x14ac:dyDescent="0.3">
      <c r="A152" s="1"/>
      <c r="G152" s="12"/>
    </row>
    <row r="153" spans="1:7" ht="15.75" customHeight="1" x14ac:dyDescent="0.3">
      <c r="A153" s="1"/>
      <c r="G153" s="12"/>
    </row>
    <row r="154" spans="1:7" ht="15.75" customHeight="1" x14ac:dyDescent="0.3">
      <c r="A154" s="1"/>
      <c r="G154" s="12"/>
    </row>
    <row r="155" spans="1:7" ht="15.75" customHeight="1" x14ac:dyDescent="0.3">
      <c r="A155" s="1"/>
      <c r="G155" s="12"/>
    </row>
    <row r="156" spans="1:7" ht="15.75" customHeight="1" x14ac:dyDescent="0.3">
      <c r="A156" s="1"/>
      <c r="G156" s="12"/>
    </row>
    <row r="157" spans="1:7" ht="15.75" customHeight="1" x14ac:dyDescent="0.3">
      <c r="A157" s="1"/>
      <c r="G157" s="12"/>
    </row>
    <row r="158" spans="1:7" ht="15.75" customHeight="1" x14ac:dyDescent="0.3">
      <c r="A158" s="1"/>
      <c r="G158" s="12"/>
    </row>
    <row r="159" spans="1:7" ht="15.75" customHeight="1" x14ac:dyDescent="0.3">
      <c r="A159" s="1"/>
      <c r="G159" s="12"/>
    </row>
    <row r="160" spans="1:7" ht="15.75" customHeight="1" x14ac:dyDescent="0.3">
      <c r="A160" s="1"/>
      <c r="G160" s="12"/>
    </row>
    <row r="161" spans="1:7" ht="15.75" customHeight="1" x14ac:dyDescent="0.3">
      <c r="A161" s="1"/>
      <c r="G161" s="12"/>
    </row>
    <row r="162" spans="1:7" ht="15.75" customHeight="1" x14ac:dyDescent="0.3">
      <c r="A162" s="1"/>
      <c r="G162" s="12"/>
    </row>
    <row r="163" spans="1:7" ht="15.75" customHeight="1" x14ac:dyDescent="0.3">
      <c r="A163" s="1"/>
      <c r="G163" s="12"/>
    </row>
    <row r="164" spans="1:7" ht="15.75" customHeight="1" x14ac:dyDescent="0.3">
      <c r="A164" s="1"/>
      <c r="G164" s="12"/>
    </row>
    <row r="165" spans="1:7" ht="15.75" customHeight="1" x14ac:dyDescent="0.3">
      <c r="A165" s="1"/>
      <c r="G165" s="12"/>
    </row>
    <row r="166" spans="1:7" ht="15.75" customHeight="1" x14ac:dyDescent="0.3">
      <c r="A166" s="1"/>
      <c r="G166" s="12"/>
    </row>
    <row r="167" spans="1:7" ht="15.75" customHeight="1" x14ac:dyDescent="0.3">
      <c r="A167" s="1"/>
      <c r="G167" s="12"/>
    </row>
    <row r="168" spans="1:7" ht="15.75" customHeight="1" x14ac:dyDescent="0.3">
      <c r="A168" s="1"/>
      <c r="G168" s="12"/>
    </row>
    <row r="169" spans="1:7" ht="15.75" customHeight="1" x14ac:dyDescent="0.3">
      <c r="A169" s="1"/>
      <c r="G169" s="12"/>
    </row>
    <row r="170" spans="1:7" ht="15.75" customHeight="1" x14ac:dyDescent="0.3">
      <c r="A170" s="1"/>
      <c r="G170" s="12"/>
    </row>
    <row r="171" spans="1:7" ht="15.75" customHeight="1" x14ac:dyDescent="0.3">
      <c r="A171" s="1"/>
      <c r="G171" s="12"/>
    </row>
    <row r="172" spans="1:7" ht="15.75" customHeight="1" x14ac:dyDescent="0.3">
      <c r="A172" s="1"/>
      <c r="G172" s="12"/>
    </row>
    <row r="173" spans="1:7" ht="15.75" customHeight="1" x14ac:dyDescent="0.3">
      <c r="A173" s="1"/>
      <c r="G173" s="12"/>
    </row>
    <row r="174" spans="1:7" ht="15.75" customHeight="1" x14ac:dyDescent="0.3">
      <c r="A174" s="1"/>
      <c r="G174" s="12"/>
    </row>
    <row r="175" spans="1:7" ht="15.75" customHeight="1" x14ac:dyDescent="0.3">
      <c r="A175" s="1"/>
      <c r="G175" s="12"/>
    </row>
    <row r="176" spans="1:7" ht="15.75" customHeight="1" x14ac:dyDescent="0.3">
      <c r="A176" s="1"/>
      <c r="G176" s="12"/>
    </row>
    <row r="177" spans="1:7" ht="15.75" customHeight="1" x14ac:dyDescent="0.3">
      <c r="A177" s="1"/>
      <c r="G177" s="12"/>
    </row>
    <row r="178" spans="1:7" ht="15.75" customHeight="1" x14ac:dyDescent="0.3">
      <c r="A178" s="1"/>
      <c r="G178" s="12"/>
    </row>
    <row r="179" spans="1:7" ht="15.75" customHeight="1" x14ac:dyDescent="0.3">
      <c r="A179" s="1"/>
      <c r="G179" s="12"/>
    </row>
    <row r="180" spans="1:7" ht="15.75" customHeight="1" x14ac:dyDescent="0.3">
      <c r="A180" s="1"/>
      <c r="G180" s="12"/>
    </row>
    <row r="181" spans="1:7" ht="15.75" customHeight="1" x14ac:dyDescent="0.3">
      <c r="A181" s="1"/>
      <c r="G181" s="12"/>
    </row>
    <row r="182" spans="1:7" ht="15.75" customHeight="1" x14ac:dyDescent="0.3">
      <c r="A182" s="1"/>
      <c r="G182" s="12"/>
    </row>
    <row r="183" spans="1:7" ht="15.75" customHeight="1" x14ac:dyDescent="0.3">
      <c r="A183" s="1"/>
      <c r="G183" s="12"/>
    </row>
    <row r="184" spans="1:7" ht="15.75" customHeight="1" x14ac:dyDescent="0.3">
      <c r="A184" s="1"/>
      <c r="G184" s="12"/>
    </row>
    <row r="185" spans="1:7" ht="15.75" customHeight="1" x14ac:dyDescent="0.3">
      <c r="A185" s="1"/>
      <c r="G185" s="12"/>
    </row>
    <row r="186" spans="1:7" ht="15.75" customHeight="1" x14ac:dyDescent="0.3">
      <c r="A186" s="1"/>
      <c r="G186" s="12"/>
    </row>
    <row r="187" spans="1:7" ht="15.75" customHeight="1" x14ac:dyDescent="0.3">
      <c r="A187" s="1"/>
      <c r="G187" s="12"/>
    </row>
    <row r="188" spans="1:7" ht="15.75" customHeight="1" x14ac:dyDescent="0.3">
      <c r="A188" s="1"/>
      <c r="G188" s="12"/>
    </row>
    <row r="189" spans="1:7" ht="15.75" customHeight="1" x14ac:dyDescent="0.3">
      <c r="A189" s="1"/>
      <c r="G189" s="12"/>
    </row>
    <row r="190" spans="1:7" ht="15.75" customHeight="1" x14ac:dyDescent="0.3">
      <c r="A190" s="1"/>
      <c r="G190" s="12"/>
    </row>
    <row r="191" spans="1:7" ht="15.75" customHeight="1" x14ac:dyDescent="0.3">
      <c r="A191" s="1"/>
      <c r="G191" s="12"/>
    </row>
    <row r="192" spans="1:7" ht="15.75" customHeight="1" x14ac:dyDescent="0.3">
      <c r="A192" s="1"/>
      <c r="G192" s="12"/>
    </row>
    <row r="193" spans="1:7" ht="15.75" customHeight="1" x14ac:dyDescent="0.3">
      <c r="A193" s="1"/>
      <c r="G193" s="12"/>
    </row>
    <row r="194" spans="1:7" ht="15.75" customHeight="1" x14ac:dyDescent="0.3">
      <c r="A194" s="1"/>
      <c r="G194" s="12"/>
    </row>
    <row r="195" spans="1:7" ht="15.75" customHeight="1" x14ac:dyDescent="0.3">
      <c r="A195" s="1"/>
      <c r="G195" s="12"/>
    </row>
    <row r="196" spans="1:7" ht="15.75" customHeight="1" x14ac:dyDescent="0.3">
      <c r="A196" s="1"/>
      <c r="G196" s="12"/>
    </row>
    <row r="197" spans="1:7" ht="15.75" customHeight="1" x14ac:dyDescent="0.3">
      <c r="A197" s="1"/>
      <c r="G197" s="12"/>
    </row>
    <row r="198" spans="1:7" ht="15.75" customHeight="1" x14ac:dyDescent="0.3">
      <c r="A198" s="1"/>
      <c r="G198" s="12"/>
    </row>
    <row r="199" spans="1:7" ht="15.75" customHeight="1" x14ac:dyDescent="0.3">
      <c r="A199" s="1"/>
      <c r="G199" s="12"/>
    </row>
    <row r="200" spans="1:7" ht="15.75" customHeight="1" x14ac:dyDescent="0.3">
      <c r="A200" s="1"/>
      <c r="G200" s="12"/>
    </row>
    <row r="201" spans="1:7" ht="15.75" customHeight="1" x14ac:dyDescent="0.3">
      <c r="A201" s="1"/>
      <c r="G201" s="12"/>
    </row>
    <row r="202" spans="1:7" ht="15.75" customHeight="1" x14ac:dyDescent="0.3">
      <c r="A202" s="1"/>
      <c r="G202" s="12"/>
    </row>
    <row r="203" spans="1:7" ht="15.75" customHeight="1" x14ac:dyDescent="0.3">
      <c r="A203" s="1"/>
      <c r="G203" s="12"/>
    </row>
    <row r="204" spans="1:7" ht="15.75" customHeight="1" x14ac:dyDescent="0.3">
      <c r="A204" s="1"/>
      <c r="G204" s="12"/>
    </row>
    <row r="205" spans="1:7" ht="15.75" customHeight="1" x14ac:dyDescent="0.3">
      <c r="A205" s="1"/>
      <c r="G205" s="12"/>
    </row>
    <row r="206" spans="1:7" ht="15.75" customHeight="1" x14ac:dyDescent="0.3">
      <c r="A206" s="1"/>
      <c r="G206" s="12"/>
    </row>
    <row r="207" spans="1:7" ht="15.75" customHeight="1" x14ac:dyDescent="0.3">
      <c r="A207" s="1"/>
      <c r="G207" s="12"/>
    </row>
    <row r="208" spans="1:7" ht="15.75" customHeight="1" x14ac:dyDescent="0.3">
      <c r="A208" s="1"/>
      <c r="G208" s="12"/>
    </row>
    <row r="209" spans="1:7" ht="15.75" customHeight="1" x14ac:dyDescent="0.3">
      <c r="A209" s="1"/>
      <c r="G209" s="12"/>
    </row>
    <row r="210" spans="1:7" ht="15.75" customHeight="1" x14ac:dyDescent="0.3">
      <c r="A210" s="1"/>
      <c r="G210" s="12"/>
    </row>
    <row r="211" spans="1:7" ht="15.75" customHeight="1" x14ac:dyDescent="0.3">
      <c r="A211" s="1"/>
      <c r="G211" s="12"/>
    </row>
    <row r="212" spans="1:7" ht="15.75" customHeight="1" x14ac:dyDescent="0.3">
      <c r="A212" s="1"/>
      <c r="G212" s="12"/>
    </row>
    <row r="213" spans="1:7" ht="15.75" customHeight="1" x14ac:dyDescent="0.3">
      <c r="A213" s="1"/>
      <c r="G213" s="12"/>
    </row>
    <row r="214" spans="1:7" ht="15.75" customHeight="1" x14ac:dyDescent="0.3">
      <c r="A214" s="1"/>
      <c r="G214" s="12"/>
    </row>
    <row r="215" spans="1:7" ht="15.75" customHeight="1" x14ac:dyDescent="0.3">
      <c r="A215" s="1"/>
      <c r="G215" s="12"/>
    </row>
    <row r="216" spans="1:7" ht="15.75" customHeight="1" x14ac:dyDescent="0.3">
      <c r="A216" s="1"/>
      <c r="G216" s="12"/>
    </row>
    <row r="217" spans="1:7" ht="15.75" customHeight="1" x14ac:dyDescent="0.3">
      <c r="A217" s="1"/>
      <c r="G217" s="12"/>
    </row>
    <row r="218" spans="1:7" ht="15.75" customHeight="1" x14ac:dyDescent="0.3">
      <c r="A218" s="1"/>
      <c r="G218" s="12"/>
    </row>
    <row r="219" spans="1:7" ht="15.75" customHeight="1" x14ac:dyDescent="0.3">
      <c r="A219" s="1"/>
      <c r="G219" s="12"/>
    </row>
    <row r="220" spans="1:7" ht="15.75" customHeight="1" x14ac:dyDescent="0.3">
      <c r="A220" s="1"/>
      <c r="G220" s="12"/>
    </row>
    <row r="221" spans="1:7" ht="15.75" customHeight="1" x14ac:dyDescent="0.3">
      <c r="A221" s="1"/>
      <c r="G221" s="12"/>
    </row>
    <row r="222" spans="1:7" ht="15.75" customHeight="1" x14ac:dyDescent="0.3">
      <c r="A222" s="1"/>
      <c r="G222" s="12"/>
    </row>
    <row r="223" spans="1:7" ht="15.75" customHeight="1" x14ac:dyDescent="0.3">
      <c r="A223" s="1"/>
      <c r="G223" s="12"/>
    </row>
    <row r="224" spans="1:7" ht="15.75" customHeight="1" x14ac:dyDescent="0.3">
      <c r="A224" s="1"/>
      <c r="G224" s="12"/>
    </row>
    <row r="225" spans="1:7" ht="15.75" customHeight="1" x14ac:dyDescent="0.3">
      <c r="A225" s="1"/>
      <c r="G225" s="12"/>
    </row>
    <row r="226" spans="1:7" ht="15.75" customHeight="1" x14ac:dyDescent="0.3">
      <c r="A226" s="1"/>
      <c r="G226" s="12"/>
    </row>
    <row r="227" spans="1:7" ht="15.75" customHeight="1" x14ac:dyDescent="0.3">
      <c r="A227" s="1"/>
      <c r="G227" s="12"/>
    </row>
    <row r="228" spans="1:7" ht="15.75" customHeight="1" x14ac:dyDescent="0.3">
      <c r="A228" s="1"/>
      <c r="G228" s="12"/>
    </row>
    <row r="229" spans="1:7" ht="15.75" customHeight="1" x14ac:dyDescent="0.3">
      <c r="A229" s="1"/>
      <c r="G229" s="12"/>
    </row>
    <row r="230" spans="1:7" ht="15.75" customHeight="1" x14ac:dyDescent="0.3">
      <c r="A230" s="1"/>
      <c r="G230" s="12"/>
    </row>
    <row r="231" spans="1:7" ht="15.75" customHeight="1" x14ac:dyDescent="0.3">
      <c r="A231" s="1"/>
      <c r="G231" s="12"/>
    </row>
    <row r="232" spans="1:7" ht="15.75" customHeight="1" x14ac:dyDescent="0.3">
      <c r="A232" s="1"/>
      <c r="G232" s="12"/>
    </row>
    <row r="233" spans="1:7" ht="15.75" customHeight="1" x14ac:dyDescent="0.3">
      <c r="A233" s="1"/>
      <c r="G233" s="12"/>
    </row>
    <row r="234" spans="1:7" ht="15.75" customHeight="1" x14ac:dyDescent="0.3">
      <c r="A234" s="1"/>
      <c r="G234" s="12"/>
    </row>
    <row r="235" spans="1:7" ht="15.75" customHeight="1" x14ac:dyDescent="0.3">
      <c r="A235" s="1"/>
      <c r="G235" s="12"/>
    </row>
    <row r="236" spans="1:7" ht="15.75" customHeight="1" x14ac:dyDescent="0.3">
      <c r="A236" s="1"/>
      <c r="G236" s="12"/>
    </row>
    <row r="237" spans="1:7" ht="15.75" customHeight="1" x14ac:dyDescent="0.3">
      <c r="A237" s="1"/>
      <c r="G237" s="12"/>
    </row>
    <row r="238" spans="1:7" ht="15.75" customHeight="1" x14ac:dyDescent="0.3">
      <c r="A238" s="1"/>
      <c r="G238" s="12"/>
    </row>
    <row r="239" spans="1:7" ht="15.75" customHeight="1" x14ac:dyDescent="0.3">
      <c r="A239" s="1"/>
      <c r="G239" s="12"/>
    </row>
    <row r="240" spans="1:7" ht="15.75" customHeight="1" x14ac:dyDescent="0.3">
      <c r="A240" s="1"/>
      <c r="G240" s="12"/>
    </row>
    <row r="241" spans="1:7" ht="15.75" customHeight="1" x14ac:dyDescent="0.3">
      <c r="A241" s="1"/>
      <c r="G241" s="12"/>
    </row>
    <row r="242" spans="1:7" ht="15.75" customHeight="1" x14ac:dyDescent="0.3">
      <c r="A242" s="1"/>
      <c r="G242" s="12"/>
    </row>
    <row r="243" spans="1:7" ht="15.75" customHeight="1" x14ac:dyDescent="0.25"/>
    <row r="244" spans="1:7" ht="15.75" customHeight="1" x14ac:dyDescent="0.25"/>
    <row r="245" spans="1:7" ht="15.75" customHeight="1" x14ac:dyDescent="0.25"/>
    <row r="246" spans="1:7" ht="15.75" customHeight="1" x14ac:dyDescent="0.25"/>
    <row r="247" spans="1:7" ht="15.75" customHeight="1" x14ac:dyDescent="0.25"/>
    <row r="248" spans="1:7" ht="15.75" customHeight="1" x14ac:dyDescent="0.25"/>
    <row r="249" spans="1:7" ht="15.75" customHeight="1" x14ac:dyDescent="0.25"/>
    <row r="250" spans="1:7" ht="15.75" customHeight="1" x14ac:dyDescent="0.25"/>
    <row r="251" spans="1:7" ht="15.75" customHeight="1" x14ac:dyDescent="0.25"/>
    <row r="252" spans="1:7" ht="15.75" customHeight="1" x14ac:dyDescent="0.25"/>
    <row r="253" spans="1:7" ht="15.75" customHeight="1" x14ac:dyDescent="0.25"/>
    <row r="254" spans="1:7" ht="15.75" customHeight="1" x14ac:dyDescent="0.25"/>
    <row r="255" spans="1:7" ht="15.75" customHeight="1" x14ac:dyDescent="0.25"/>
    <row r="256" spans="1: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B1"/>
    <mergeCell ref="F1:G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4FC2-2DCA-4910-B2AE-3E38597F85AF}">
  <sheetPr codeName="Hoja2"/>
  <dimension ref="A1:R28"/>
  <sheetViews>
    <sheetView tabSelected="1" topLeftCell="A22" workbookViewId="0">
      <selection activeCell="F28" sqref="F28"/>
    </sheetView>
  </sheetViews>
  <sheetFormatPr baseColWidth="10" defaultRowHeight="12.5" x14ac:dyDescent="0.25"/>
  <sheetData>
    <row r="1" spans="1:18" ht="35" x14ac:dyDescent="0.25">
      <c r="A1" s="40" t="s">
        <v>0</v>
      </c>
      <c r="B1" s="40"/>
      <c r="C1" s="40"/>
      <c r="D1" s="40"/>
      <c r="E1" s="40"/>
      <c r="F1" s="40"/>
      <c r="G1" s="40"/>
      <c r="H1" s="40"/>
      <c r="I1" s="23"/>
      <c r="J1" s="23"/>
      <c r="K1" s="23"/>
      <c r="L1" s="23"/>
      <c r="M1" s="23"/>
      <c r="N1" s="23"/>
    </row>
    <row r="2" spans="1:18" hidden="1" x14ac:dyDescent="0.25">
      <c r="C2" t="s">
        <v>7</v>
      </c>
      <c r="D2" t="s">
        <v>8</v>
      </c>
      <c r="E2" t="s">
        <v>22</v>
      </c>
    </row>
    <row r="3" spans="1:18" ht="13" hidden="1" x14ac:dyDescent="0.3">
      <c r="A3" t="s">
        <v>12</v>
      </c>
      <c r="B3" t="s">
        <v>19</v>
      </c>
      <c r="C3">
        <f>SUM(D8:D9,D12,D15,D17,D18,D22,D23,D26,D27)</f>
        <v>22</v>
      </c>
      <c r="D3">
        <f>SUM(D10:D11,D13,D14,D16,D19,D20,D21,D24,D25)</f>
        <v>9</v>
      </c>
      <c r="E3" s="22">
        <f>(30+C3)-D3</f>
        <v>43</v>
      </c>
      <c r="F3" s="24" t="s">
        <v>6</v>
      </c>
    </row>
    <row r="4" spans="1:18" ht="13" hidden="1" x14ac:dyDescent="0.3">
      <c r="A4" t="s">
        <v>20</v>
      </c>
      <c r="B4" t="s">
        <v>21</v>
      </c>
      <c r="C4">
        <f>SUM(G8,G13,G14,G17,G20,G23,G26)</f>
        <v>15</v>
      </c>
      <c r="D4">
        <f>SUM(G9:G12,G15,G16,G18,G19,G21,G22,G24,G25,G27)</f>
        <v>14</v>
      </c>
      <c r="E4" s="17">
        <f>(30+C4)-D4</f>
        <v>31</v>
      </c>
      <c r="F4" s="24" t="s">
        <v>20</v>
      </c>
    </row>
    <row r="5" spans="1:18" hidden="1" x14ac:dyDescent="0.25"/>
    <row r="6" spans="1:18" ht="13" x14ac:dyDescent="0.3">
      <c r="R6" s="24"/>
    </row>
    <row r="7" spans="1:18" ht="13" x14ac:dyDescent="0.3">
      <c r="B7" t="s">
        <v>31</v>
      </c>
      <c r="C7" t="s">
        <v>29</v>
      </c>
      <c r="D7" t="s">
        <v>30</v>
      </c>
      <c r="E7" t="s">
        <v>32</v>
      </c>
      <c r="F7" t="s">
        <v>29</v>
      </c>
      <c r="G7" t="s">
        <v>30</v>
      </c>
      <c r="R7" s="24"/>
    </row>
    <row r="8" spans="1:18" x14ac:dyDescent="0.25">
      <c r="B8" s="21">
        <v>1</v>
      </c>
      <c r="C8" s="36">
        <v>1</v>
      </c>
      <c r="D8" s="15">
        <f>IF(C8=0,3,IF(C8=1,2,IF(C8=2,1,IF(B8&gt;=3,0,"Fuera de Rango"))))</f>
        <v>2</v>
      </c>
      <c r="E8" s="20">
        <v>21</v>
      </c>
      <c r="F8" s="36">
        <v>1</v>
      </c>
      <c r="G8" s="33">
        <f>IF(F8=0,3,IF(F8=1,2,IF(F8=2,1,IF(E8&gt;=3,0,"Fuera de Rango"))))</f>
        <v>2</v>
      </c>
    </row>
    <row r="9" spans="1:18" x14ac:dyDescent="0.25">
      <c r="B9" s="21">
        <v>2</v>
      </c>
      <c r="C9" s="36">
        <v>1</v>
      </c>
      <c r="D9" s="15">
        <f>IF(C9=0,3,IF(C9=1,2,IF(C9=2,1,IF(B9&gt;=3,0,"Fuera de Rango"))))</f>
        <v>2</v>
      </c>
      <c r="E9" s="20">
        <v>22</v>
      </c>
      <c r="F9" s="36">
        <v>1</v>
      </c>
      <c r="G9" s="33">
        <f>F9</f>
        <v>1</v>
      </c>
    </row>
    <row r="10" spans="1:18" x14ac:dyDescent="0.25">
      <c r="B10" s="21">
        <v>3</v>
      </c>
      <c r="C10" s="36">
        <v>2</v>
      </c>
      <c r="D10" s="15">
        <f>C10</f>
        <v>2</v>
      </c>
      <c r="E10" s="20">
        <v>23</v>
      </c>
      <c r="F10" s="36">
        <v>0</v>
      </c>
      <c r="G10" s="33">
        <f t="shared" ref="G10:G12" si="0">F10</f>
        <v>0</v>
      </c>
    </row>
    <row r="11" spans="1:18" x14ac:dyDescent="0.25">
      <c r="B11" s="21">
        <v>4</v>
      </c>
      <c r="C11" s="36">
        <v>0</v>
      </c>
      <c r="D11" s="15">
        <f>C11</f>
        <v>0</v>
      </c>
      <c r="E11" s="20">
        <v>24</v>
      </c>
      <c r="F11" s="36">
        <v>2</v>
      </c>
      <c r="G11" s="33">
        <f t="shared" si="0"/>
        <v>2</v>
      </c>
    </row>
    <row r="12" spans="1:18" x14ac:dyDescent="0.25">
      <c r="B12" s="21">
        <v>5</v>
      </c>
      <c r="C12" s="36">
        <v>1</v>
      </c>
      <c r="D12" s="15">
        <f>IF(C12=0,3,IF(C12=1,2,IF(C12=2,1,IF(B12&gt;=3,0,"Fuera de Rango"))))</f>
        <v>2</v>
      </c>
      <c r="E12" s="20">
        <v>25</v>
      </c>
      <c r="F12" s="36">
        <v>1</v>
      </c>
      <c r="G12" s="33">
        <f t="shared" si="0"/>
        <v>1</v>
      </c>
    </row>
    <row r="13" spans="1:18" x14ac:dyDescent="0.25">
      <c r="B13" s="21">
        <v>6</v>
      </c>
      <c r="C13" s="36">
        <v>1</v>
      </c>
      <c r="D13" s="15">
        <f t="shared" ref="D13:D14" si="1">C13</f>
        <v>1</v>
      </c>
      <c r="E13" s="20">
        <v>26</v>
      </c>
      <c r="F13" s="36">
        <v>1</v>
      </c>
      <c r="G13" s="33">
        <f t="shared" ref="G13:G14" si="2">IF(F13=0,3,IF(F13=1,2,IF(F13=2,1,IF(E13&gt;=3,0,"Fuera de Rango"))))</f>
        <v>2</v>
      </c>
    </row>
    <row r="14" spans="1:18" x14ac:dyDescent="0.25">
      <c r="B14" s="21">
        <v>7</v>
      </c>
      <c r="C14" s="36">
        <v>1</v>
      </c>
      <c r="D14" s="15">
        <f t="shared" si="1"/>
        <v>1</v>
      </c>
      <c r="E14" s="20">
        <v>27</v>
      </c>
      <c r="F14" s="36">
        <v>0</v>
      </c>
      <c r="G14" s="33">
        <f t="shared" si="2"/>
        <v>3</v>
      </c>
    </row>
    <row r="15" spans="1:18" x14ac:dyDescent="0.25">
      <c r="B15" s="21">
        <v>8</v>
      </c>
      <c r="C15" s="36">
        <v>0</v>
      </c>
      <c r="D15" s="15">
        <f>IF(C15=0,3,IF(C15=1,2,IF(C15=2,1,IF(B15&gt;=3,0,"Fuera de Rango"))))</f>
        <v>3</v>
      </c>
      <c r="E15" s="20">
        <v>28</v>
      </c>
      <c r="F15" s="36">
        <v>0</v>
      </c>
      <c r="G15" s="33">
        <f t="shared" ref="G15:G16" si="3">F15</f>
        <v>0</v>
      </c>
    </row>
    <row r="16" spans="1:18" x14ac:dyDescent="0.25">
      <c r="B16" s="21">
        <v>9</v>
      </c>
      <c r="C16" s="36">
        <v>1</v>
      </c>
      <c r="D16" s="15">
        <f>C16</f>
        <v>1</v>
      </c>
      <c r="E16" s="20">
        <v>29</v>
      </c>
      <c r="F16" s="36">
        <v>2</v>
      </c>
      <c r="G16" s="33">
        <f t="shared" si="3"/>
        <v>2</v>
      </c>
    </row>
    <row r="17" spans="2:7" x14ac:dyDescent="0.25">
      <c r="B17" s="21">
        <v>10</v>
      </c>
      <c r="C17" s="36">
        <v>0</v>
      </c>
      <c r="D17" s="15">
        <f t="shared" ref="D17:D18" si="4">IF(C17=0,3,IF(C17=1,2,IF(C17=2,1,IF(B17&gt;=3,0,"Fuera de Rango"))))</f>
        <v>3</v>
      </c>
      <c r="E17" s="20">
        <v>30</v>
      </c>
      <c r="F17" s="36">
        <v>1</v>
      </c>
      <c r="G17" s="33">
        <f>IF(F17=0,3,IF(F17=1,2,IF(F17=2,1,IF(E17&gt;=3,0,"Fuera de Rango"))))</f>
        <v>2</v>
      </c>
    </row>
    <row r="18" spans="2:7" x14ac:dyDescent="0.25">
      <c r="B18" s="21">
        <v>11</v>
      </c>
      <c r="C18" s="36">
        <v>2</v>
      </c>
      <c r="D18" s="15">
        <f t="shared" si="4"/>
        <v>1</v>
      </c>
      <c r="E18" s="20">
        <v>31</v>
      </c>
      <c r="F18" s="36">
        <v>2</v>
      </c>
      <c r="G18" s="33">
        <f t="shared" ref="G18:G19" si="5">F18</f>
        <v>2</v>
      </c>
    </row>
    <row r="19" spans="2:7" x14ac:dyDescent="0.25">
      <c r="B19" s="21">
        <v>12</v>
      </c>
      <c r="C19" s="36">
        <v>0</v>
      </c>
      <c r="D19" s="15">
        <f t="shared" ref="D19:D21" si="6">C19</f>
        <v>0</v>
      </c>
      <c r="E19" s="20">
        <v>32</v>
      </c>
      <c r="F19" s="36">
        <v>0</v>
      </c>
      <c r="G19" s="33">
        <f t="shared" si="5"/>
        <v>0</v>
      </c>
    </row>
    <row r="20" spans="2:7" x14ac:dyDescent="0.25">
      <c r="B20" s="21">
        <v>13</v>
      </c>
      <c r="C20" s="36">
        <v>1</v>
      </c>
      <c r="D20" s="15">
        <f t="shared" si="6"/>
        <v>1</v>
      </c>
      <c r="E20" s="20">
        <v>33</v>
      </c>
      <c r="F20" s="36">
        <v>1</v>
      </c>
      <c r="G20" s="33">
        <f>IF(F20=0,3,IF(F20=1,2,IF(F20=2,1,IF(E20&gt;=3,0,"Fuera de Rango"))))</f>
        <v>2</v>
      </c>
    </row>
    <row r="21" spans="2:7" x14ac:dyDescent="0.25">
      <c r="B21" s="21">
        <v>14</v>
      </c>
      <c r="C21" s="36">
        <v>1</v>
      </c>
      <c r="D21" s="15">
        <f t="shared" si="6"/>
        <v>1</v>
      </c>
      <c r="E21" s="20">
        <v>34</v>
      </c>
      <c r="F21" s="36">
        <v>0</v>
      </c>
      <c r="G21" s="33">
        <f t="shared" ref="G21:G22" si="7">F21</f>
        <v>0</v>
      </c>
    </row>
    <row r="22" spans="2:7" x14ac:dyDescent="0.25">
      <c r="B22" s="21">
        <v>15</v>
      </c>
      <c r="C22" s="36">
        <v>0</v>
      </c>
      <c r="D22" s="15">
        <f t="shared" ref="D22:D23" si="8">IF(C22=0,3,IF(C22=1,2,IF(C22=2,1,IF(B22&gt;=3,0,"Fuera de Rango"))))</f>
        <v>3</v>
      </c>
      <c r="E22" s="20">
        <v>35</v>
      </c>
      <c r="F22" s="36">
        <v>2</v>
      </c>
      <c r="G22" s="33">
        <f t="shared" si="7"/>
        <v>2</v>
      </c>
    </row>
    <row r="23" spans="2:7" x14ac:dyDescent="0.25">
      <c r="B23" s="21">
        <v>16</v>
      </c>
      <c r="C23" s="36">
        <v>1</v>
      </c>
      <c r="D23" s="15">
        <f t="shared" si="8"/>
        <v>2</v>
      </c>
      <c r="E23" s="20">
        <v>36</v>
      </c>
      <c r="F23" s="36">
        <v>1</v>
      </c>
      <c r="G23" s="33">
        <f>IF(F23=0,3,IF(F23=1,2,IF(F23=2,1,IF(E23&gt;=3,0,"Fuera de Rango"))))</f>
        <v>2</v>
      </c>
    </row>
    <row r="24" spans="2:7" x14ac:dyDescent="0.25">
      <c r="B24" s="21">
        <v>17</v>
      </c>
      <c r="C24" s="36">
        <v>1</v>
      </c>
      <c r="D24" s="15">
        <f t="shared" ref="D24:D25" si="9">C24</f>
        <v>1</v>
      </c>
      <c r="E24" s="20">
        <v>37</v>
      </c>
      <c r="F24" s="36">
        <v>1</v>
      </c>
      <c r="G24" s="33">
        <f t="shared" ref="G24:G25" si="10">F24</f>
        <v>1</v>
      </c>
    </row>
    <row r="25" spans="2:7" x14ac:dyDescent="0.25">
      <c r="B25" s="21">
        <v>18</v>
      </c>
      <c r="C25" s="36">
        <v>1</v>
      </c>
      <c r="D25" s="15">
        <f t="shared" si="9"/>
        <v>1</v>
      </c>
      <c r="E25" s="20">
        <v>38</v>
      </c>
      <c r="F25" s="36">
        <v>1</v>
      </c>
      <c r="G25" s="33">
        <f t="shared" si="10"/>
        <v>1</v>
      </c>
    </row>
    <row r="26" spans="2:7" x14ac:dyDescent="0.25">
      <c r="B26" s="21">
        <v>19</v>
      </c>
      <c r="C26" s="36">
        <v>1</v>
      </c>
      <c r="D26" s="15">
        <f t="shared" ref="D26:D27" si="11">IF(C26=0,3,IF(C26=1,2,IF(C26=2,1,IF(B26&gt;=3,0,"Fuera de Rango"))))</f>
        <v>2</v>
      </c>
      <c r="E26" s="20">
        <v>39</v>
      </c>
      <c r="F26" s="36">
        <v>1</v>
      </c>
      <c r="G26" s="33">
        <f>IF(F26=0,3,IF(F26=1,2,IF(F26=2,1,IF(E26&gt;=3,0,"Fuera de Rango"))))</f>
        <v>2</v>
      </c>
    </row>
    <row r="27" spans="2:7" x14ac:dyDescent="0.25">
      <c r="B27" s="21">
        <v>20</v>
      </c>
      <c r="C27" s="36">
        <v>1</v>
      </c>
      <c r="D27" s="15">
        <f t="shared" si="11"/>
        <v>2</v>
      </c>
      <c r="E27" s="20">
        <v>40</v>
      </c>
      <c r="F27" s="36">
        <v>2</v>
      </c>
      <c r="G27" s="33">
        <f>F27</f>
        <v>2</v>
      </c>
    </row>
    <row r="28" spans="2:7" x14ac:dyDescent="0.25">
      <c r="C28" s="14" t="s">
        <v>6</v>
      </c>
      <c r="D28" s="34">
        <f>E3</f>
        <v>43</v>
      </c>
      <c r="F28" s="17" t="s">
        <v>20</v>
      </c>
      <c r="G28" s="35">
        <f>E4</f>
        <v>31</v>
      </c>
    </row>
  </sheetData>
  <sheetProtection sheet="1" objects="1" scenarios="1"/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1DB3-90A3-4E62-85B7-FC2C65A2F93F}">
  <sheetPr codeName="Hoja3"/>
  <dimension ref="B2:O62"/>
  <sheetViews>
    <sheetView workbookViewId="0">
      <selection activeCell="D37" sqref="D37:J63"/>
    </sheetView>
  </sheetViews>
  <sheetFormatPr baseColWidth="10" defaultRowHeight="12.5" x14ac:dyDescent="0.25"/>
  <sheetData>
    <row r="2" spans="2:12" x14ac:dyDescent="0.25">
      <c r="B2" s="45" t="s">
        <v>12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2:12" x14ac:dyDescent="0.25">
      <c r="B3" s="42" t="s">
        <v>13</v>
      </c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2:12" x14ac:dyDescent="0.25">
      <c r="B4" s="14" t="s">
        <v>14</v>
      </c>
      <c r="C4" s="21">
        <v>1</v>
      </c>
      <c r="D4" s="21">
        <v>2</v>
      </c>
      <c r="E4" s="21">
        <v>5</v>
      </c>
      <c r="F4" s="21">
        <v>8</v>
      </c>
      <c r="G4" s="21">
        <v>10</v>
      </c>
      <c r="H4" s="21">
        <v>11</v>
      </c>
      <c r="I4" s="21">
        <v>15</v>
      </c>
      <c r="J4" s="21">
        <v>16</v>
      </c>
      <c r="K4" s="21">
        <v>19</v>
      </c>
      <c r="L4" s="21">
        <v>20</v>
      </c>
    </row>
    <row r="5" spans="2:12" x14ac:dyDescent="0.25">
      <c r="B5" s="14" t="s">
        <v>17</v>
      </c>
      <c r="C5" s="28">
        <v>2</v>
      </c>
      <c r="D5" s="28">
        <v>2</v>
      </c>
      <c r="E5" s="28">
        <v>2</v>
      </c>
      <c r="F5" s="28">
        <v>2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2</v>
      </c>
    </row>
    <row r="6" spans="2:12" x14ac:dyDescent="0.25">
      <c r="B6" s="14" t="s">
        <v>18</v>
      </c>
      <c r="C6" s="14">
        <f t="shared" ref="C6:L6" si="0">IF(C5=0,3,IF(C5=1,2,IF(C5=2,1,IF(C5&gt;=3,0,"Fuera de Rango"))))</f>
        <v>1</v>
      </c>
      <c r="D6" s="14">
        <f t="shared" si="0"/>
        <v>1</v>
      </c>
      <c r="E6" s="14">
        <f t="shared" si="0"/>
        <v>1</v>
      </c>
      <c r="F6" s="14">
        <f t="shared" si="0"/>
        <v>1</v>
      </c>
      <c r="G6" s="14">
        <f t="shared" si="0"/>
        <v>2</v>
      </c>
      <c r="H6" s="14">
        <f t="shared" si="0"/>
        <v>2</v>
      </c>
      <c r="I6" s="14">
        <f t="shared" si="0"/>
        <v>2</v>
      </c>
      <c r="J6" s="14">
        <f t="shared" si="0"/>
        <v>2</v>
      </c>
      <c r="K6" s="14">
        <f t="shared" si="0"/>
        <v>2</v>
      </c>
      <c r="L6" s="14">
        <f t="shared" si="0"/>
        <v>1</v>
      </c>
    </row>
    <row r="8" spans="2:12" x14ac:dyDescent="0.25">
      <c r="B8" s="43" t="s">
        <v>15</v>
      </c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2:12" x14ac:dyDescent="0.25">
      <c r="B9" s="16" t="s">
        <v>16</v>
      </c>
      <c r="C9" s="15">
        <v>3</v>
      </c>
      <c r="D9" s="15">
        <v>4</v>
      </c>
      <c r="E9" s="15">
        <v>6</v>
      </c>
      <c r="F9" s="15">
        <v>7</v>
      </c>
      <c r="G9" s="15">
        <v>9</v>
      </c>
      <c r="H9" s="15">
        <v>12</v>
      </c>
      <c r="I9" s="15">
        <v>13</v>
      </c>
      <c r="J9" s="15">
        <v>14</v>
      </c>
      <c r="K9" s="15">
        <v>17</v>
      </c>
      <c r="L9" s="15">
        <v>18</v>
      </c>
    </row>
    <row r="10" spans="2:12" x14ac:dyDescent="0.25">
      <c r="B10" s="16" t="s">
        <v>17</v>
      </c>
      <c r="C10" s="29">
        <v>1</v>
      </c>
      <c r="D10" s="28">
        <v>1</v>
      </c>
      <c r="E10" s="28">
        <v>0</v>
      </c>
      <c r="F10" s="28">
        <v>1</v>
      </c>
      <c r="G10" s="28">
        <v>0</v>
      </c>
      <c r="H10" s="28">
        <v>1</v>
      </c>
      <c r="I10" s="28">
        <v>0</v>
      </c>
      <c r="J10" s="28">
        <v>0</v>
      </c>
      <c r="K10" s="28">
        <v>0</v>
      </c>
      <c r="L10" s="28">
        <v>0</v>
      </c>
    </row>
    <row r="12" spans="2:12" x14ac:dyDescent="0.25">
      <c r="B12" s="45" t="s">
        <v>10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2:12" x14ac:dyDescent="0.25">
      <c r="B13" s="44" t="s">
        <v>13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</row>
    <row r="14" spans="2:12" x14ac:dyDescent="0.25">
      <c r="B14" s="17" t="s">
        <v>14</v>
      </c>
      <c r="C14" s="20">
        <v>21</v>
      </c>
      <c r="D14" s="20">
        <v>26</v>
      </c>
      <c r="E14" s="20">
        <v>27</v>
      </c>
      <c r="F14" s="20">
        <v>30</v>
      </c>
      <c r="G14" s="20">
        <v>33</v>
      </c>
      <c r="H14" s="20">
        <v>36</v>
      </c>
      <c r="I14" s="20">
        <v>39</v>
      </c>
      <c r="J14" s="17"/>
      <c r="K14" s="17"/>
      <c r="L14" s="17"/>
    </row>
    <row r="15" spans="2:12" x14ac:dyDescent="0.25">
      <c r="B15" s="17" t="s">
        <v>17</v>
      </c>
      <c r="C15" s="28">
        <v>2</v>
      </c>
      <c r="D15" s="28">
        <v>3</v>
      </c>
      <c r="E15" s="28">
        <v>3</v>
      </c>
      <c r="F15" s="28">
        <v>2</v>
      </c>
      <c r="G15" s="28">
        <v>2</v>
      </c>
      <c r="H15" s="28">
        <v>0</v>
      </c>
      <c r="I15" s="28">
        <v>2</v>
      </c>
      <c r="J15" s="17"/>
      <c r="K15" s="17"/>
      <c r="L15" s="17"/>
    </row>
    <row r="16" spans="2:12" x14ac:dyDescent="0.25">
      <c r="B16" s="17" t="s">
        <v>18</v>
      </c>
      <c r="C16" s="17" t="b">
        <f>STAI!C8=IF(C15=0,3,IF(C15=1,2,IF(C15=2,1,IF(C15&gt;=3,0,"Fuera de Rango"))))</f>
        <v>1</v>
      </c>
      <c r="D16" s="17">
        <f t="shared" ref="D16:I16" si="1">IF(D15=0,3,IF(D15=1,2,IF(D15=2,1,IF(D15&gt;=3,0,"Fuera de Rango"))))</f>
        <v>0</v>
      </c>
      <c r="E16" s="17">
        <f t="shared" si="1"/>
        <v>0</v>
      </c>
      <c r="F16" s="17">
        <f t="shared" si="1"/>
        <v>1</v>
      </c>
      <c r="G16" s="17">
        <f t="shared" si="1"/>
        <v>1</v>
      </c>
      <c r="H16" s="17">
        <f t="shared" si="1"/>
        <v>3</v>
      </c>
      <c r="I16" s="17">
        <f t="shared" si="1"/>
        <v>1</v>
      </c>
      <c r="J16" s="17"/>
      <c r="K16" s="17"/>
      <c r="L16" s="17"/>
    </row>
    <row r="18" spans="2:15" x14ac:dyDescent="0.25">
      <c r="B18" s="41" t="s">
        <v>15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x14ac:dyDescent="0.25">
      <c r="B19" s="19" t="s">
        <v>16</v>
      </c>
      <c r="C19" s="19">
        <v>22</v>
      </c>
      <c r="D19" s="19">
        <v>23</v>
      </c>
      <c r="E19" s="19">
        <v>24</v>
      </c>
      <c r="F19" s="19">
        <v>25</v>
      </c>
      <c r="G19" s="19">
        <v>28</v>
      </c>
      <c r="H19" s="19">
        <v>29</v>
      </c>
      <c r="I19" s="19">
        <v>31</v>
      </c>
      <c r="J19" s="19">
        <v>32</v>
      </c>
      <c r="K19" s="19">
        <v>34</v>
      </c>
      <c r="L19" s="19">
        <v>35</v>
      </c>
      <c r="M19" s="19">
        <v>37</v>
      </c>
      <c r="N19" s="19">
        <v>38</v>
      </c>
      <c r="O19" s="19">
        <v>40</v>
      </c>
    </row>
    <row r="20" spans="2:15" x14ac:dyDescent="0.25">
      <c r="B20" s="18" t="s">
        <v>17</v>
      </c>
      <c r="C20" s="28">
        <v>1</v>
      </c>
      <c r="D20" s="28">
        <v>0</v>
      </c>
      <c r="E20" s="28">
        <v>0</v>
      </c>
      <c r="F20" s="28">
        <v>0</v>
      </c>
      <c r="G20" s="28">
        <v>0</v>
      </c>
      <c r="H20" s="28">
        <v>1</v>
      </c>
      <c r="I20" s="28">
        <v>1</v>
      </c>
      <c r="J20" s="28">
        <v>0</v>
      </c>
      <c r="K20" s="28">
        <v>1</v>
      </c>
      <c r="L20" s="28">
        <v>1</v>
      </c>
      <c r="M20" s="28">
        <v>1</v>
      </c>
      <c r="N20" s="28">
        <v>0</v>
      </c>
      <c r="O20" s="28">
        <v>1</v>
      </c>
    </row>
    <row r="25" spans="2:15" x14ac:dyDescent="0.25">
      <c r="D25" t="s">
        <v>7</v>
      </c>
      <c r="E25" t="s">
        <v>8</v>
      </c>
      <c r="F25" t="s">
        <v>22</v>
      </c>
    </row>
    <row r="26" spans="2:15" ht="13" x14ac:dyDescent="0.3">
      <c r="B26" t="s">
        <v>12</v>
      </c>
      <c r="C26" t="s">
        <v>19</v>
      </c>
      <c r="D26">
        <f>SUM('STAI Original'!D9:M9)</f>
        <v>100</v>
      </c>
      <c r="E26">
        <f>SUM('STAI Original'!D13:M13)</f>
        <v>0</v>
      </c>
      <c r="F26" s="22">
        <f>(30+D26)-E26</f>
        <v>130</v>
      </c>
      <c r="G26" s="24" t="s">
        <v>6</v>
      </c>
    </row>
    <row r="27" spans="2:15" ht="13" x14ac:dyDescent="0.3">
      <c r="B27" t="s">
        <v>20</v>
      </c>
      <c r="C27" t="s">
        <v>21</v>
      </c>
      <c r="D27">
        <f>SUM('STAI Original'!D19:J19)</f>
        <v>192</v>
      </c>
      <c r="E27">
        <f>SUM('STAI Original'!D23:P23)</f>
        <v>0</v>
      </c>
      <c r="F27" s="17">
        <f>(30+D27)-E27</f>
        <v>222</v>
      </c>
      <c r="G27" s="24" t="s">
        <v>20</v>
      </c>
    </row>
    <row r="37" spans="4:10" x14ac:dyDescent="0.25">
      <c r="F37" t="s">
        <v>7</v>
      </c>
      <c r="G37" t="s">
        <v>8</v>
      </c>
      <c r="H37" t="s">
        <v>22</v>
      </c>
    </row>
    <row r="38" spans="4:10" ht="13" x14ac:dyDescent="0.3">
      <c r="D38" t="s">
        <v>12</v>
      </c>
      <c r="E38" t="s">
        <v>19</v>
      </c>
      <c r="F38">
        <f>SUM(G43:G44,G47,G50,G52,G53,G57,G58,G61,G62)</f>
        <v>15</v>
      </c>
      <c r="G38">
        <f>SUM(G45:G46,G48,G49,G51,G54,G55,G56,G59,G60)</f>
        <v>20</v>
      </c>
      <c r="H38" s="22">
        <f>(30+F38)-G38</f>
        <v>25</v>
      </c>
      <c r="I38" s="24" t="s">
        <v>6</v>
      </c>
    </row>
    <row r="39" spans="4:10" ht="13" x14ac:dyDescent="0.3">
      <c r="D39" t="s">
        <v>20</v>
      </c>
      <c r="E39" t="s">
        <v>21</v>
      </c>
      <c r="F39">
        <f>SUM(J43,J48,J49,J52,J55,J58,J61)</f>
        <v>14</v>
      </c>
      <c r="G39">
        <f>SUM(J44:J47,J50,J51,J53,J54,J56,J57,J59,J60,J62)</f>
        <v>13</v>
      </c>
      <c r="H39" s="17">
        <f>(30+F39)-G39</f>
        <v>31</v>
      </c>
      <c r="I39" s="24" t="s">
        <v>20</v>
      </c>
    </row>
    <row r="42" spans="4:10" x14ac:dyDescent="0.25">
      <c r="E42" t="s">
        <v>31</v>
      </c>
      <c r="F42" t="s">
        <v>29</v>
      </c>
      <c r="G42" t="s">
        <v>30</v>
      </c>
      <c r="H42" t="s">
        <v>32</v>
      </c>
      <c r="I42" t="s">
        <v>29</v>
      </c>
      <c r="J42" t="s">
        <v>30</v>
      </c>
    </row>
    <row r="43" spans="4:10" x14ac:dyDescent="0.25">
      <c r="E43" s="14">
        <v>1</v>
      </c>
      <c r="F43">
        <v>1</v>
      </c>
      <c r="G43">
        <f>IF(F43=0,3,IF(F43=1,2,IF(F43=2,1,IF(E43&gt;=3,0,"Fuera de Rango"))))</f>
        <v>2</v>
      </c>
      <c r="H43" s="17">
        <v>21</v>
      </c>
      <c r="I43">
        <v>1</v>
      </c>
      <c r="J43">
        <f>IF(I43=0,3,IF(I43=1,2,IF(I43=2,1,IF(H43&gt;=3,0,"Fuera de Rango"))))</f>
        <v>2</v>
      </c>
    </row>
    <row r="44" spans="4:10" x14ac:dyDescent="0.25">
      <c r="E44" s="14">
        <v>2</v>
      </c>
      <c r="F44">
        <v>2</v>
      </c>
      <c r="G44">
        <f>IF(F44=0,3,IF(F44=1,2,IF(F44=2,1,IF(E44&gt;=3,0,"Fuera de Rango"))))</f>
        <v>1</v>
      </c>
      <c r="H44">
        <v>22</v>
      </c>
      <c r="I44">
        <v>1</v>
      </c>
      <c r="J44">
        <f>I44</f>
        <v>1</v>
      </c>
    </row>
    <row r="45" spans="4:10" x14ac:dyDescent="0.25">
      <c r="E45">
        <v>3</v>
      </c>
      <c r="F45">
        <v>2</v>
      </c>
      <c r="G45">
        <f>F45</f>
        <v>2</v>
      </c>
      <c r="H45">
        <v>23</v>
      </c>
      <c r="I45">
        <v>1</v>
      </c>
      <c r="J45">
        <f t="shared" ref="J45:J47" si="2">I45</f>
        <v>1</v>
      </c>
    </row>
    <row r="46" spans="4:10" x14ac:dyDescent="0.25">
      <c r="E46">
        <v>4</v>
      </c>
      <c r="F46">
        <v>3</v>
      </c>
      <c r="G46">
        <f>F46</f>
        <v>3</v>
      </c>
      <c r="H46">
        <v>24</v>
      </c>
      <c r="I46">
        <v>1</v>
      </c>
      <c r="J46">
        <f t="shared" si="2"/>
        <v>1</v>
      </c>
    </row>
    <row r="47" spans="4:10" x14ac:dyDescent="0.25">
      <c r="E47" s="14">
        <v>5</v>
      </c>
      <c r="F47">
        <v>1</v>
      </c>
      <c r="G47">
        <f>IF(F47=0,3,IF(F47=1,2,IF(F47=2,1,IF(E47&gt;=3,0,"Fuera de Rango"))))</f>
        <v>2</v>
      </c>
      <c r="H47">
        <v>25</v>
      </c>
      <c r="I47">
        <v>1</v>
      </c>
      <c r="J47">
        <f t="shared" si="2"/>
        <v>1</v>
      </c>
    </row>
    <row r="48" spans="4:10" x14ac:dyDescent="0.25">
      <c r="E48">
        <v>6</v>
      </c>
      <c r="F48">
        <v>2</v>
      </c>
      <c r="G48">
        <f t="shared" ref="G48:G49" si="3">F48</f>
        <v>2</v>
      </c>
      <c r="H48" s="17">
        <v>26</v>
      </c>
      <c r="I48">
        <v>1</v>
      </c>
      <c r="J48">
        <f t="shared" ref="J48:J49" si="4">IF(I48=0,3,IF(I48=1,2,IF(I48=2,1,IF(H48&gt;=3,0,"Fuera de Rango"))))</f>
        <v>2</v>
      </c>
    </row>
    <row r="49" spans="5:10" x14ac:dyDescent="0.25">
      <c r="E49">
        <v>7</v>
      </c>
      <c r="F49">
        <v>3</v>
      </c>
      <c r="G49">
        <f t="shared" si="3"/>
        <v>3</v>
      </c>
      <c r="H49" s="17">
        <v>27</v>
      </c>
      <c r="I49">
        <v>1</v>
      </c>
      <c r="J49">
        <f t="shared" si="4"/>
        <v>2</v>
      </c>
    </row>
    <row r="50" spans="5:10" x14ac:dyDescent="0.25">
      <c r="E50" s="14">
        <v>8</v>
      </c>
      <c r="F50">
        <v>2</v>
      </c>
      <c r="G50">
        <f>IF(F50=0,3,IF(F50=1,2,IF(F50=2,1,IF(E50&gt;=3,0,"Fuera de Rango"))))</f>
        <v>1</v>
      </c>
      <c r="H50">
        <v>28</v>
      </c>
      <c r="I50">
        <v>1</v>
      </c>
      <c r="J50">
        <f t="shared" ref="J50:J51" si="5">I50</f>
        <v>1</v>
      </c>
    </row>
    <row r="51" spans="5:10" x14ac:dyDescent="0.25">
      <c r="E51">
        <v>9</v>
      </c>
      <c r="F51">
        <v>1</v>
      </c>
      <c r="G51">
        <f>F51</f>
        <v>1</v>
      </c>
      <c r="H51">
        <v>29</v>
      </c>
      <c r="I51">
        <v>1</v>
      </c>
      <c r="J51">
        <f t="shared" si="5"/>
        <v>1</v>
      </c>
    </row>
    <row r="52" spans="5:10" x14ac:dyDescent="0.25">
      <c r="E52" s="14">
        <v>10</v>
      </c>
      <c r="F52">
        <v>1</v>
      </c>
      <c r="G52">
        <f t="shared" ref="G52:G53" si="6">IF(F52=0,3,IF(F52=1,2,IF(F52=2,1,IF(E52&gt;=3,0,"Fuera de Rango"))))</f>
        <v>2</v>
      </c>
      <c r="H52" s="17">
        <v>30</v>
      </c>
      <c r="I52">
        <v>1</v>
      </c>
      <c r="J52">
        <f>IF(I52=0,3,IF(I52=1,2,IF(I52=2,1,IF(H52&gt;=3,0,"Fuera de Rango"))))</f>
        <v>2</v>
      </c>
    </row>
    <row r="53" spans="5:10" x14ac:dyDescent="0.25">
      <c r="E53" s="14">
        <v>11</v>
      </c>
      <c r="F53">
        <v>1</v>
      </c>
      <c r="G53">
        <f t="shared" si="6"/>
        <v>2</v>
      </c>
      <c r="H53">
        <v>31</v>
      </c>
      <c r="I53">
        <v>1</v>
      </c>
      <c r="J53">
        <f t="shared" ref="J53:J54" si="7">I53</f>
        <v>1</v>
      </c>
    </row>
    <row r="54" spans="5:10" x14ac:dyDescent="0.25">
      <c r="E54">
        <v>12</v>
      </c>
      <c r="F54">
        <v>2</v>
      </c>
      <c r="G54">
        <f t="shared" ref="G54:G56" si="8">F54</f>
        <v>2</v>
      </c>
      <c r="H54">
        <v>32</v>
      </c>
      <c r="I54">
        <v>1</v>
      </c>
      <c r="J54">
        <f t="shared" si="7"/>
        <v>1</v>
      </c>
    </row>
    <row r="55" spans="5:10" x14ac:dyDescent="0.25">
      <c r="E55">
        <v>13</v>
      </c>
      <c r="F55">
        <v>2</v>
      </c>
      <c r="G55">
        <f t="shared" si="8"/>
        <v>2</v>
      </c>
      <c r="H55" s="17">
        <v>33</v>
      </c>
      <c r="I55">
        <v>1</v>
      </c>
      <c r="J55">
        <f>IF(I55=0,3,IF(I55=1,2,IF(I55=2,1,IF(H55&gt;=3,0,"Fuera de Rango"))))</f>
        <v>2</v>
      </c>
    </row>
    <row r="56" spans="5:10" x14ac:dyDescent="0.25">
      <c r="E56">
        <v>14</v>
      </c>
      <c r="F56">
        <v>2</v>
      </c>
      <c r="G56">
        <f t="shared" si="8"/>
        <v>2</v>
      </c>
      <c r="H56">
        <v>34</v>
      </c>
      <c r="I56">
        <v>1</v>
      </c>
      <c r="J56">
        <f t="shared" ref="J56:J57" si="9">I56</f>
        <v>1</v>
      </c>
    </row>
    <row r="57" spans="5:10" x14ac:dyDescent="0.25">
      <c r="E57" s="14">
        <v>15</v>
      </c>
      <c r="F57">
        <v>2</v>
      </c>
      <c r="G57">
        <f t="shared" ref="G57:G58" si="10">IF(F57=0,3,IF(F57=1,2,IF(F57=2,1,IF(E57&gt;=3,0,"Fuera de Rango"))))</f>
        <v>1</v>
      </c>
      <c r="H57">
        <v>35</v>
      </c>
      <c r="I57">
        <v>1</v>
      </c>
      <c r="J57">
        <f t="shared" si="9"/>
        <v>1</v>
      </c>
    </row>
    <row r="58" spans="5:10" x14ac:dyDescent="0.25">
      <c r="E58" s="14">
        <v>16</v>
      </c>
      <c r="F58">
        <v>2</v>
      </c>
      <c r="G58">
        <f t="shared" si="10"/>
        <v>1</v>
      </c>
      <c r="H58" s="17">
        <v>36</v>
      </c>
      <c r="I58">
        <v>1</v>
      </c>
      <c r="J58">
        <f>IF(I58=0,3,IF(I58=1,2,IF(I58=2,1,IF(H58&gt;=3,0,"Fuera de Rango"))))</f>
        <v>2</v>
      </c>
    </row>
    <row r="59" spans="5:10" x14ac:dyDescent="0.25">
      <c r="E59">
        <v>17</v>
      </c>
      <c r="F59">
        <v>1</v>
      </c>
      <c r="G59">
        <f t="shared" ref="G59:G60" si="11">F59</f>
        <v>1</v>
      </c>
      <c r="H59">
        <v>37</v>
      </c>
      <c r="I59">
        <v>1</v>
      </c>
      <c r="J59">
        <f t="shared" ref="J59:J60" si="12">I59</f>
        <v>1</v>
      </c>
    </row>
    <row r="60" spans="5:10" x14ac:dyDescent="0.25">
      <c r="E60">
        <v>18</v>
      </c>
      <c r="F60">
        <v>2</v>
      </c>
      <c r="G60">
        <f t="shared" si="11"/>
        <v>2</v>
      </c>
      <c r="H60">
        <v>38</v>
      </c>
      <c r="I60">
        <v>1</v>
      </c>
      <c r="J60">
        <f t="shared" si="12"/>
        <v>1</v>
      </c>
    </row>
    <row r="61" spans="5:10" x14ac:dyDescent="0.25">
      <c r="E61" s="14">
        <v>19</v>
      </c>
      <c r="F61">
        <v>1</v>
      </c>
      <c r="G61">
        <f t="shared" ref="G61:G62" si="13">IF(F61=0,3,IF(F61=1,2,IF(F61=2,1,IF(E61&gt;=3,0,"Fuera de Rango"))))</f>
        <v>2</v>
      </c>
      <c r="H61" s="17">
        <v>39</v>
      </c>
      <c r="I61">
        <v>1</v>
      </c>
      <c r="J61">
        <f>IF(I61=0,3,IF(I61=1,2,IF(I61=2,1,IF(H61&gt;=3,0,"Fuera de Rango"))))</f>
        <v>2</v>
      </c>
    </row>
    <row r="62" spans="5:10" x14ac:dyDescent="0.25">
      <c r="E62" s="14">
        <v>20</v>
      </c>
      <c r="F62">
        <v>2</v>
      </c>
      <c r="G62">
        <f t="shared" si="13"/>
        <v>1</v>
      </c>
      <c r="H62">
        <v>40</v>
      </c>
      <c r="I62">
        <v>1</v>
      </c>
      <c r="J62">
        <f>I62</f>
        <v>1</v>
      </c>
    </row>
  </sheetData>
  <mergeCells count="6">
    <mergeCell ref="B18:O18"/>
    <mergeCell ref="B3:L3"/>
    <mergeCell ref="B8:L8"/>
    <mergeCell ref="B13:L13"/>
    <mergeCell ref="B2:L2"/>
    <mergeCell ref="B12:L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D5D8-AA44-4766-9E3F-8403B3A9AD6E}">
  <sheetPr codeName="Hoja4"/>
  <dimension ref="A1:D7"/>
  <sheetViews>
    <sheetView workbookViewId="0">
      <selection activeCell="B44" sqref="B44"/>
    </sheetView>
  </sheetViews>
  <sheetFormatPr baseColWidth="10" defaultRowHeight="12.5" x14ac:dyDescent="0.25"/>
  <sheetData>
    <row r="1" spans="1:4" x14ac:dyDescent="0.25">
      <c r="A1" t="s">
        <v>24</v>
      </c>
    </row>
    <row r="3" spans="1:4" x14ac:dyDescent="0.25">
      <c r="C3" s="31" t="s">
        <v>25</v>
      </c>
      <c r="D3" s="28">
        <v>200</v>
      </c>
    </row>
    <row r="4" spans="1:4" x14ac:dyDescent="0.25">
      <c r="C4" s="17" t="s">
        <v>27</v>
      </c>
      <c r="D4" s="28">
        <v>10</v>
      </c>
    </row>
    <row r="5" spans="1:4" x14ac:dyDescent="0.25">
      <c r="C5" s="27" t="s">
        <v>26</v>
      </c>
      <c r="D5" s="28">
        <v>5</v>
      </c>
    </row>
    <row r="6" spans="1:4" ht="13" thickBot="1" x14ac:dyDescent="0.3">
      <c r="D6" s="30"/>
    </row>
    <row r="7" spans="1:4" ht="13" thickBot="1" x14ac:dyDescent="0.3">
      <c r="C7" s="14" t="s">
        <v>28</v>
      </c>
      <c r="D7" s="32">
        <f>D3-(D4+D5)</f>
        <v>185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C07D-B7C3-43BA-B79F-6FC47938EC56}">
  <sheetPr codeName="Hoja5"/>
  <dimension ref="B2:D30"/>
  <sheetViews>
    <sheetView workbookViewId="0">
      <selection activeCell="D15" sqref="D15"/>
    </sheetView>
  </sheetViews>
  <sheetFormatPr baseColWidth="10" defaultRowHeight="12.5" x14ac:dyDescent="0.25"/>
  <cols>
    <col min="4" max="4" width="16" customWidth="1"/>
  </cols>
  <sheetData>
    <row r="2" spans="2:4" ht="13" x14ac:dyDescent="0.3">
      <c r="B2" s="46" t="s">
        <v>1</v>
      </c>
      <c r="C2" s="47"/>
      <c r="D2" s="47"/>
    </row>
    <row r="3" spans="2:4" ht="13" x14ac:dyDescent="0.3">
      <c r="B3" s="3" t="s">
        <v>4</v>
      </c>
      <c r="C3" s="4" t="s">
        <v>5</v>
      </c>
      <c r="D3" s="4" t="s">
        <v>23</v>
      </c>
    </row>
    <row r="4" spans="2:4" ht="13" x14ac:dyDescent="0.3">
      <c r="B4" s="7">
        <v>1</v>
      </c>
      <c r="C4" s="25">
        <f t="shared" ref="C4:C30" si="0">B4/9</f>
        <v>0.1111111111111111</v>
      </c>
      <c r="D4" s="26">
        <v>1</v>
      </c>
    </row>
    <row r="5" spans="2:4" ht="13" x14ac:dyDescent="0.3">
      <c r="B5" s="7">
        <v>2</v>
      </c>
      <c r="C5" s="25">
        <f t="shared" si="0"/>
        <v>0.22222222222222221</v>
      </c>
      <c r="D5" s="26">
        <v>2</v>
      </c>
    </row>
    <row r="6" spans="2:4" ht="13" x14ac:dyDescent="0.3">
      <c r="B6" s="7">
        <v>3</v>
      </c>
      <c r="C6" s="25">
        <f t="shared" si="0"/>
        <v>0.33333333333333331</v>
      </c>
      <c r="D6" s="26">
        <v>3</v>
      </c>
    </row>
    <row r="7" spans="2:4" ht="13" x14ac:dyDescent="0.3">
      <c r="B7" s="7">
        <v>4</v>
      </c>
      <c r="C7" s="25">
        <f t="shared" si="0"/>
        <v>0.44444444444444442</v>
      </c>
      <c r="D7" s="26">
        <v>4</v>
      </c>
    </row>
    <row r="8" spans="2:4" ht="13" x14ac:dyDescent="0.3">
      <c r="B8" s="7">
        <v>5</v>
      </c>
      <c r="C8" s="25">
        <f t="shared" si="0"/>
        <v>0.55555555555555558</v>
      </c>
      <c r="D8" s="26">
        <v>6</v>
      </c>
    </row>
    <row r="9" spans="2:4" ht="13" x14ac:dyDescent="0.3">
      <c r="B9" s="7">
        <v>6</v>
      </c>
      <c r="C9" s="25">
        <f t="shared" si="0"/>
        <v>0.66666666666666663</v>
      </c>
      <c r="D9" s="26">
        <v>7</v>
      </c>
    </row>
    <row r="10" spans="2:4" ht="13" x14ac:dyDescent="0.3">
      <c r="B10" s="7">
        <v>7</v>
      </c>
      <c r="C10" s="25">
        <f t="shared" si="0"/>
        <v>0.77777777777777779</v>
      </c>
      <c r="D10" s="26">
        <v>8</v>
      </c>
    </row>
    <row r="11" spans="2:4" ht="13" x14ac:dyDescent="0.3">
      <c r="B11" s="7">
        <v>8</v>
      </c>
      <c r="C11" s="25">
        <f t="shared" si="0"/>
        <v>0.88888888888888884</v>
      </c>
      <c r="D11" s="26">
        <v>9</v>
      </c>
    </row>
    <row r="12" spans="2:4" ht="13" x14ac:dyDescent="0.3">
      <c r="B12" s="7">
        <v>9</v>
      </c>
      <c r="C12" s="25">
        <f t="shared" si="0"/>
        <v>1</v>
      </c>
      <c r="D12" s="26">
        <v>10</v>
      </c>
    </row>
    <row r="13" spans="2:4" ht="13" x14ac:dyDescent="0.3">
      <c r="B13" s="7">
        <v>10</v>
      </c>
      <c r="C13" s="25">
        <f t="shared" si="0"/>
        <v>1.1111111111111112</v>
      </c>
      <c r="D13" s="26">
        <v>11</v>
      </c>
    </row>
    <row r="14" spans="2:4" ht="13" x14ac:dyDescent="0.3">
      <c r="B14" s="7">
        <v>11</v>
      </c>
      <c r="C14" s="25">
        <f t="shared" si="0"/>
        <v>1.2222222222222223</v>
      </c>
      <c r="D14" s="26">
        <v>12</v>
      </c>
    </row>
    <row r="15" spans="2:4" ht="13" x14ac:dyDescent="0.3">
      <c r="B15" s="7">
        <v>12</v>
      </c>
      <c r="C15" s="25">
        <f t="shared" si="0"/>
        <v>1.3333333333333333</v>
      </c>
      <c r="D15" s="26">
        <v>13</v>
      </c>
    </row>
    <row r="16" spans="2:4" ht="13" x14ac:dyDescent="0.3">
      <c r="B16" s="7">
        <v>13</v>
      </c>
      <c r="C16" s="25">
        <f t="shared" si="0"/>
        <v>1.4444444444444444</v>
      </c>
      <c r="D16" s="26">
        <v>14</v>
      </c>
    </row>
    <row r="17" spans="2:4" ht="13" x14ac:dyDescent="0.3">
      <c r="B17" s="7">
        <v>14</v>
      </c>
      <c r="C17" s="25">
        <f t="shared" si="0"/>
        <v>1.5555555555555556</v>
      </c>
      <c r="D17" s="26">
        <v>16</v>
      </c>
    </row>
    <row r="18" spans="2:4" ht="13" x14ac:dyDescent="0.3">
      <c r="B18" s="7">
        <v>15</v>
      </c>
      <c r="C18" s="25">
        <f t="shared" si="0"/>
        <v>1.6666666666666667</v>
      </c>
      <c r="D18" s="26">
        <v>17</v>
      </c>
    </row>
    <row r="19" spans="2:4" ht="13" x14ac:dyDescent="0.3">
      <c r="B19" s="7">
        <v>16</v>
      </c>
      <c r="C19" s="25">
        <f t="shared" si="0"/>
        <v>1.7777777777777777</v>
      </c>
      <c r="D19" s="26">
        <v>18</v>
      </c>
    </row>
    <row r="20" spans="2:4" ht="13" x14ac:dyDescent="0.3">
      <c r="B20" s="7">
        <v>17</v>
      </c>
      <c r="C20" s="25">
        <f t="shared" si="0"/>
        <v>1.8888888888888888</v>
      </c>
      <c r="D20" s="26">
        <v>19</v>
      </c>
    </row>
    <row r="21" spans="2:4" ht="13" x14ac:dyDescent="0.3">
      <c r="B21" s="7">
        <v>18</v>
      </c>
      <c r="C21" s="25">
        <f t="shared" si="0"/>
        <v>2</v>
      </c>
      <c r="D21" s="26">
        <v>20</v>
      </c>
    </row>
    <row r="22" spans="2:4" ht="13" x14ac:dyDescent="0.3">
      <c r="B22" s="7">
        <v>19</v>
      </c>
      <c r="C22" s="25">
        <f t="shared" si="0"/>
        <v>2.1111111111111112</v>
      </c>
      <c r="D22" s="26">
        <v>21</v>
      </c>
    </row>
    <row r="23" spans="2:4" ht="13" x14ac:dyDescent="0.3">
      <c r="B23" s="7">
        <v>20</v>
      </c>
      <c r="C23" s="25">
        <f t="shared" si="0"/>
        <v>2.2222222222222223</v>
      </c>
      <c r="D23" s="26">
        <v>22</v>
      </c>
    </row>
    <row r="24" spans="2:4" ht="13" x14ac:dyDescent="0.3">
      <c r="B24" s="7">
        <v>21</v>
      </c>
      <c r="C24" s="25">
        <f t="shared" si="0"/>
        <v>2.3333333333333335</v>
      </c>
      <c r="D24" s="26">
        <v>23</v>
      </c>
    </row>
    <row r="25" spans="2:4" ht="13" x14ac:dyDescent="0.3">
      <c r="B25" s="7">
        <v>22</v>
      </c>
      <c r="C25" s="25">
        <f t="shared" si="0"/>
        <v>2.4444444444444446</v>
      </c>
      <c r="D25" s="26">
        <v>24</v>
      </c>
    </row>
    <row r="26" spans="2:4" ht="13" x14ac:dyDescent="0.3">
      <c r="B26" s="7">
        <v>23</v>
      </c>
      <c r="C26" s="25">
        <f t="shared" si="0"/>
        <v>2.5555555555555554</v>
      </c>
      <c r="D26" s="26">
        <v>26</v>
      </c>
    </row>
    <row r="27" spans="2:4" ht="13" x14ac:dyDescent="0.3">
      <c r="B27" s="7">
        <v>24</v>
      </c>
      <c r="C27" s="25">
        <f t="shared" si="0"/>
        <v>2.6666666666666665</v>
      </c>
      <c r="D27" s="26">
        <v>27</v>
      </c>
    </row>
    <row r="28" spans="2:4" ht="13" x14ac:dyDescent="0.3">
      <c r="B28" s="7">
        <v>25</v>
      </c>
      <c r="C28" s="25">
        <f t="shared" si="0"/>
        <v>2.7777777777777777</v>
      </c>
      <c r="D28" s="26">
        <v>28</v>
      </c>
    </row>
    <row r="29" spans="2:4" ht="13" x14ac:dyDescent="0.3">
      <c r="B29" s="7">
        <v>26</v>
      </c>
      <c r="C29" s="25">
        <f t="shared" si="0"/>
        <v>2.8888888888888888</v>
      </c>
      <c r="D29" s="26">
        <v>29</v>
      </c>
    </row>
    <row r="30" spans="2:4" ht="13" x14ac:dyDescent="0.3">
      <c r="B30" s="7">
        <v>27</v>
      </c>
      <c r="C30" s="25">
        <f t="shared" si="0"/>
        <v>3</v>
      </c>
      <c r="D30" s="26">
        <v>30</v>
      </c>
    </row>
  </sheetData>
  <sheetProtection sheet="1" objects="1" scenarios="1"/>
  <mergeCells count="1">
    <mergeCell ref="B2:D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STAI y SNAP</vt:lpstr>
      <vt:lpstr>STAI</vt:lpstr>
      <vt:lpstr>STAI Original</vt:lpstr>
      <vt:lpstr>Toulouse- Pieron IGAP</vt:lpstr>
      <vt:lpstr>SNAP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Cristina Pinto Dussan</cp:lastModifiedBy>
  <dcterms:created xsi:type="dcterms:W3CDTF">2025-04-14T22:21:36Z</dcterms:created>
  <dcterms:modified xsi:type="dcterms:W3CDTF">2025-10-08T20:08:22Z</dcterms:modified>
</cp:coreProperties>
</file>